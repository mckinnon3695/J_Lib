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US Companies" sheetId="2" r:id="rId5"/>
    <sheet state="visible" name="Key Points" sheetId="3" r:id="rId6"/>
  </sheets>
  <definedNames/>
  <calcPr/>
  <extLst>
    <ext uri="GoogleSheetsCustomDataVersion2">
      <go:sheetsCustomData xmlns:go="http://customooxmlschemas.google.com/" r:id="rId7" roundtripDataChecksum="FdeD9ihASHmmScduDQM3sO+6NibREvTksPSzgZ7bOEs="/>
    </ext>
  </extLst>
</workbook>
</file>

<file path=xl/sharedStrings.xml><?xml version="1.0" encoding="utf-8"?>
<sst xmlns="http://schemas.openxmlformats.org/spreadsheetml/2006/main" count="433" uniqueCount="398">
  <si>
    <t>Level</t>
  </si>
  <si>
    <t>DWT</t>
  </si>
  <si>
    <t>05/26/2026</t>
  </si>
  <si>
    <t>05/25/2026</t>
  </si>
  <si>
    <t>05/24/2026</t>
  </si>
  <si>
    <t>05/23/2026</t>
  </si>
  <si>
    <t>05/22/2026</t>
  </si>
  <si>
    <t>05/21/2026</t>
  </si>
  <si>
    <t>05/20/2026</t>
  </si>
  <si>
    <t>05/19/2026</t>
  </si>
  <si>
    <t>05/18/2026</t>
  </si>
  <si>
    <t>05/17/2026</t>
  </si>
  <si>
    <t>05/16/2026</t>
  </si>
  <si>
    <t>05/15/2026</t>
  </si>
  <si>
    <t>05/14/2026</t>
  </si>
  <si>
    <t>05/13/2026</t>
  </si>
  <si>
    <t>05/12/2026</t>
  </si>
  <si>
    <t>05/11/2026</t>
  </si>
  <si>
    <t>05/10/2026</t>
  </si>
  <si>
    <t>05/09/2026</t>
  </si>
  <si>
    <t>05/08/2026</t>
  </si>
  <si>
    <t>05/07/2026</t>
  </si>
  <si>
    <t>05/06/2026</t>
  </si>
  <si>
    <t>05/05/2026</t>
  </si>
  <si>
    <t>05/04/2026</t>
  </si>
  <si>
    <t>05/03/2026</t>
  </si>
  <si>
    <t>05/02/2026</t>
  </si>
  <si>
    <t>05/01/2026</t>
  </si>
  <si>
    <t>04/30/2026</t>
  </si>
  <si>
    <t>04/29/2026</t>
  </si>
  <si>
    <t>04/28/2026</t>
  </si>
  <si>
    <t>04/27/2026</t>
  </si>
  <si>
    <t>04/26/2026</t>
  </si>
  <si>
    <t>04/25/2026</t>
  </si>
  <si>
    <t>04/24/2026</t>
  </si>
  <si>
    <t>04/23/2026</t>
  </si>
  <si>
    <t>04/22/2026</t>
  </si>
  <si>
    <t>04/21/2026</t>
  </si>
  <si>
    <t>04/20/2026</t>
  </si>
  <si>
    <t>04/19/2026</t>
  </si>
  <si>
    <t>04/18/2026</t>
  </si>
  <si>
    <t>04/17/2026</t>
  </si>
  <si>
    <t>04/16/2026</t>
  </si>
  <si>
    <t>04/15/2026</t>
  </si>
  <si>
    <t>04/14/2026</t>
  </si>
  <si>
    <t>04/13/2026</t>
  </si>
  <si>
    <t>04/12/2026</t>
  </si>
  <si>
    <t>04/11/2026</t>
  </si>
  <si>
    <t>04/10/2026</t>
  </si>
  <si>
    <t>04/09/2026</t>
  </si>
  <si>
    <t>04/08/2026</t>
  </si>
  <si>
    <t>04/07/2026</t>
  </si>
  <si>
    <t>04/06/2026</t>
  </si>
  <si>
    <t>04/05/2026</t>
  </si>
  <si>
    <t>04/04/2026</t>
  </si>
  <si>
    <t>04/03/2026</t>
  </si>
  <si>
    <t>04/02/2026</t>
  </si>
  <si>
    <t>04/01/2026</t>
  </si>
  <si>
    <t>03/31/2026</t>
  </si>
  <si>
    <t>03/30/2026</t>
  </si>
  <si>
    <t>03/29/2026</t>
  </si>
  <si>
    <t>03/28/2026</t>
  </si>
  <si>
    <t>03/27/2026</t>
  </si>
  <si>
    <t>03/26/2026</t>
  </si>
  <si>
    <t>03/25/2026</t>
  </si>
  <si>
    <t>03/24/2026</t>
  </si>
  <si>
    <t>03/23/2026</t>
  </si>
  <si>
    <t>03/22/2026</t>
  </si>
  <si>
    <t>03/21/2026</t>
  </si>
  <si>
    <t>03/20/2026</t>
  </si>
  <si>
    <t>03/19/2026</t>
  </si>
  <si>
    <t>03/18/2026</t>
  </si>
  <si>
    <t>03/17/2026</t>
  </si>
  <si>
    <t>03/16/2026</t>
  </si>
  <si>
    <t>03/15/2026</t>
  </si>
  <si>
    <t>03/14/2026</t>
  </si>
  <si>
    <t>03/13/2026</t>
  </si>
  <si>
    <t>03/12/2026</t>
  </si>
  <si>
    <t>03/11/2026</t>
  </si>
  <si>
    <t>03/10/2026</t>
  </si>
  <si>
    <t>03/09/2026</t>
  </si>
  <si>
    <t>03/08/2026</t>
  </si>
  <si>
    <t>03/07/2026</t>
  </si>
  <si>
    <t>03/06/2026</t>
  </si>
  <si>
    <t>03/05/2026</t>
  </si>
  <si>
    <t>03/04/2026</t>
  </si>
  <si>
    <t>03/03/2026</t>
  </si>
  <si>
    <t>03/02/2026</t>
  </si>
  <si>
    <t>03/01/2026</t>
  </si>
  <si>
    <t>02/28/2026</t>
  </si>
  <si>
    <t>02/27/2026</t>
  </si>
  <si>
    <t>02/26/2026</t>
  </si>
  <si>
    <t>02/25/2026</t>
  </si>
  <si>
    <t>02/24/2026</t>
  </si>
  <si>
    <t>02/23/2026</t>
  </si>
  <si>
    <t>02/22/2026</t>
  </si>
  <si>
    <t>02/21/2026</t>
  </si>
  <si>
    <t>02/20/2026</t>
  </si>
  <si>
    <t>02/19/2026</t>
  </si>
  <si>
    <t>02/18/2026</t>
  </si>
  <si>
    <t>02/17/2026</t>
  </si>
  <si>
    <t>02/16/2026</t>
  </si>
  <si>
    <t>02/15/2026</t>
  </si>
  <si>
    <t>02/14/2026</t>
  </si>
  <si>
    <t>02/13/2026</t>
  </si>
  <si>
    <t>02/12/2026</t>
  </si>
  <si>
    <t>02/11/2026</t>
  </si>
  <si>
    <t>02/10/2026</t>
  </si>
  <si>
    <t>02/09/2026</t>
  </si>
  <si>
    <t>02/08/2026</t>
  </si>
  <si>
    <t>02/07/2026</t>
  </si>
  <si>
    <t>02/06/2026</t>
  </si>
  <si>
    <t>02/05/2026</t>
  </si>
  <si>
    <t>02/04/2026</t>
  </si>
  <si>
    <t>02/03/2026</t>
  </si>
  <si>
    <t>02/02/2026</t>
  </si>
  <si>
    <t>02/01/2026</t>
  </si>
  <si>
    <t>01/31/2026</t>
  </si>
  <si>
    <t>01/30/2026</t>
  </si>
  <si>
    <t>01/29/2026</t>
  </si>
  <si>
    <t>01/28/2026</t>
  </si>
  <si>
    <t>01/27/2026</t>
  </si>
  <si>
    <t>01/26/2026</t>
  </si>
  <si>
    <t>01/25/2026</t>
  </si>
  <si>
    <t>01/24/2026</t>
  </si>
  <si>
    <t>01/23/2026</t>
  </si>
  <si>
    <t>01/22/2026</t>
  </si>
  <si>
    <t>01/21/2026</t>
  </si>
  <si>
    <t>01/20/2026</t>
  </si>
  <si>
    <t>01/19/2026</t>
  </si>
  <si>
    <t>01/18/2026</t>
  </si>
  <si>
    <t>01/17/2026</t>
  </si>
  <si>
    <t>01/16/2026</t>
  </si>
  <si>
    <t>01/15/2026</t>
  </si>
  <si>
    <t>01/14/2026</t>
  </si>
  <si>
    <t>01/13/2026</t>
  </si>
  <si>
    <t>01/12/2026</t>
  </si>
  <si>
    <t>01/11/2026</t>
  </si>
  <si>
    <t>01/10/2026</t>
  </si>
  <si>
    <t>01/09/2026</t>
  </si>
  <si>
    <t>01/08/2026</t>
  </si>
  <si>
    <t>01/07/2026</t>
  </si>
  <si>
    <t>01/06/2026</t>
  </si>
  <si>
    <t>01/05/2026</t>
  </si>
  <si>
    <t>01/04/2026</t>
  </si>
  <si>
    <t>01/03/2026</t>
  </si>
  <si>
    <t>01/02/2026</t>
  </si>
  <si>
    <t>01/01/2026</t>
  </si>
  <si>
    <t>12/31/2025</t>
  </si>
  <si>
    <t>12/30/2025</t>
  </si>
  <si>
    <t>12/29/2025</t>
  </si>
  <si>
    <t>12/28/2025</t>
  </si>
  <si>
    <t>12/27/2025</t>
  </si>
  <si>
    <t>12/26/2025</t>
  </si>
  <si>
    <t>12/25/2025</t>
  </si>
  <si>
    <t>12/24/2025</t>
  </si>
  <si>
    <t>12/23/2025</t>
  </si>
  <si>
    <t>12/22/2025</t>
  </si>
  <si>
    <t>12/21/2025</t>
  </si>
  <si>
    <t>12/20/2025</t>
  </si>
  <si>
    <t>12/19/2025</t>
  </si>
  <si>
    <t>12/18/2025</t>
  </si>
  <si>
    <t>12/17/2025</t>
  </si>
  <si>
    <t>12/16/2025</t>
  </si>
  <si>
    <t>12/15/2025</t>
  </si>
  <si>
    <t>12/14/2025</t>
  </si>
  <si>
    <t>12/13/2025</t>
  </si>
  <si>
    <t>12/12/2025</t>
  </si>
  <si>
    <t>12/11/2025</t>
  </si>
  <si>
    <t>12/10/2025</t>
  </si>
  <si>
    <t>12/09/2025</t>
  </si>
  <si>
    <t>12/08/2025</t>
  </si>
  <si>
    <t>12/07/2025</t>
  </si>
  <si>
    <t>12/06/2025</t>
  </si>
  <si>
    <t>12/05/2025</t>
  </si>
  <si>
    <t>12/04/2025</t>
  </si>
  <si>
    <t>12/03/2025</t>
  </si>
  <si>
    <t>12/02/2025</t>
  </si>
  <si>
    <t>12/01/2025</t>
  </si>
  <si>
    <t>11/30/2025</t>
  </si>
  <si>
    <t>11/29/2025</t>
  </si>
  <si>
    <t>11/28/2025</t>
  </si>
  <si>
    <t>11/27/2025</t>
  </si>
  <si>
    <t>11/26/2025</t>
  </si>
  <si>
    <t>11/25/2025</t>
  </si>
  <si>
    <t>11/24/2025</t>
  </si>
  <si>
    <t>11/23/2025</t>
  </si>
  <si>
    <t>11/22/2025</t>
  </si>
  <si>
    <t>11/21/2025</t>
  </si>
  <si>
    <t>11/20/2025</t>
  </si>
  <si>
    <t>11/19/2025</t>
  </si>
  <si>
    <t>11/18/2025</t>
  </si>
  <si>
    <t>11/17/2025</t>
  </si>
  <si>
    <t>11/16/2025</t>
  </si>
  <si>
    <t>11/15/2025</t>
  </si>
  <si>
    <t>11/14/2025</t>
  </si>
  <si>
    <t>11/13/2025</t>
  </si>
  <si>
    <t>11/12/2025</t>
  </si>
  <si>
    <t>11/11/2025</t>
  </si>
  <si>
    <t>11/10/2025</t>
  </si>
  <si>
    <t>11/09/2025</t>
  </si>
  <si>
    <t>11/08/2025</t>
  </si>
  <si>
    <t>11/07/2025</t>
  </si>
  <si>
    <t>11/06/2025</t>
  </si>
  <si>
    <t>11/05/2025</t>
  </si>
  <si>
    <t>11/04/2025</t>
  </si>
  <si>
    <t>11/03/2025</t>
  </si>
  <si>
    <t>11/02/2025</t>
  </si>
  <si>
    <t>11/01/2025</t>
  </si>
  <si>
    <t>10/31/2025</t>
  </si>
  <si>
    <t>10/30/2025</t>
  </si>
  <si>
    <t>10/29/2025</t>
  </si>
  <si>
    <t>10/28/2025</t>
  </si>
  <si>
    <t>10/27/2025</t>
  </si>
  <si>
    <t>10/26/2025</t>
  </si>
  <si>
    <t>10/25/2025</t>
  </si>
  <si>
    <t>10/24/2025</t>
  </si>
  <si>
    <t>10/23/2025</t>
  </si>
  <si>
    <t>10/22/2025</t>
  </si>
  <si>
    <t>10/21/2025</t>
  </si>
  <si>
    <t>10/20/2025</t>
  </si>
  <si>
    <t>10/19/2025</t>
  </si>
  <si>
    <t>10/18/2025</t>
  </si>
  <si>
    <t>10/17/2025</t>
  </si>
  <si>
    <t>10/16/2025</t>
  </si>
  <si>
    <t>10/15/2025</t>
  </si>
  <si>
    <t>10/14/2025</t>
  </si>
  <si>
    <t>10/13/2025</t>
  </si>
  <si>
    <t>10/12/2025</t>
  </si>
  <si>
    <t>10/11/2025</t>
  </si>
  <si>
    <t>10/10/2025</t>
  </si>
  <si>
    <t>10/09/2025</t>
  </si>
  <si>
    <t>10/08/2025</t>
  </si>
  <si>
    <t>10/07/2025</t>
  </si>
  <si>
    <t>10/06/2025</t>
  </si>
  <si>
    <t>10/05/2025</t>
  </si>
  <si>
    <t>10/04/2025</t>
  </si>
  <si>
    <t>10/03/2025</t>
  </si>
  <si>
    <t>10/02/2025</t>
  </si>
  <si>
    <t>10/01/2025</t>
  </si>
  <si>
    <t>09/30/2025</t>
  </si>
  <si>
    <t>09/29/2025</t>
  </si>
  <si>
    <t>09/28/2025</t>
  </si>
  <si>
    <t>09/27/2025</t>
  </si>
  <si>
    <t>09/26/2025</t>
  </si>
  <si>
    <t>09/25/2025</t>
  </si>
  <si>
    <t>09/24/2025</t>
  </si>
  <si>
    <t>09/23/2025</t>
  </si>
  <si>
    <t>09/22/2025</t>
  </si>
  <si>
    <t>09/21/2025</t>
  </si>
  <si>
    <t>09/20/2025</t>
  </si>
  <si>
    <t>09/19/2025</t>
  </si>
  <si>
    <t>09/18/2025</t>
  </si>
  <si>
    <t>09/17/2025</t>
  </si>
  <si>
    <t>09/16/2025</t>
  </si>
  <si>
    <t>09/15/2025</t>
  </si>
  <si>
    <t>09/14/2025</t>
  </si>
  <si>
    <t>09/13/2025</t>
  </si>
  <si>
    <t>09/12/2025</t>
  </si>
  <si>
    <t>09/11/2025</t>
  </si>
  <si>
    <t>09/10/2025</t>
  </si>
  <si>
    <t>09/09/2025</t>
  </si>
  <si>
    <t>09/08/2025</t>
  </si>
  <si>
    <t>09/07/2025</t>
  </si>
  <si>
    <t>09/06/2025</t>
  </si>
  <si>
    <t>09/05/2025</t>
  </si>
  <si>
    <t>09/04/2025</t>
  </si>
  <si>
    <t>09/03/2025</t>
  </si>
  <si>
    <t>09/02/2025</t>
  </si>
  <si>
    <t>09/01/2025</t>
  </si>
  <si>
    <t>08/31/2025</t>
  </si>
  <si>
    <t>08/30/2025</t>
  </si>
  <si>
    <t>08/29/2025</t>
  </si>
  <si>
    <t>08/28/2025</t>
  </si>
  <si>
    <t>08/27/2025</t>
  </si>
  <si>
    <t>08/26/2025</t>
  </si>
  <si>
    <t>08/25/2025</t>
  </si>
  <si>
    <t>08/24/2025</t>
  </si>
  <si>
    <t>08/23/2025</t>
  </si>
  <si>
    <t>08/22/2025</t>
  </si>
  <si>
    <t>08/21/2025</t>
  </si>
  <si>
    <t>08/20/2025</t>
  </si>
  <si>
    <t>08/19/2025</t>
  </si>
  <si>
    <t>08/18/2025</t>
  </si>
  <si>
    <t>08/17/2025</t>
  </si>
  <si>
    <t>08/16/2025</t>
  </si>
  <si>
    <t>08/15/2025</t>
  </si>
  <si>
    <t>08/14/2025</t>
  </si>
  <si>
    <t>08/13/2025</t>
  </si>
  <si>
    <t>08/12/2025</t>
  </si>
  <si>
    <t>08/11/2025</t>
  </si>
  <si>
    <t>08/10/2025</t>
  </si>
  <si>
    <t>08/09/2025</t>
  </si>
  <si>
    <t>08/08/2025</t>
  </si>
  <si>
    <t>08/07/2025</t>
  </si>
  <si>
    <t>08/06/2025</t>
  </si>
  <si>
    <t>08/05/2025</t>
  </si>
  <si>
    <t>08/04/2025</t>
  </si>
  <si>
    <t>08/03/2025</t>
  </si>
  <si>
    <t>08/02/2025</t>
  </si>
  <si>
    <t>08/01/2025</t>
  </si>
  <si>
    <t>07/31/2025</t>
  </si>
  <si>
    <t>07/30/2025</t>
  </si>
  <si>
    <t>07/29/2025</t>
  </si>
  <si>
    <t>07/28/2025</t>
  </si>
  <si>
    <t>07/27/2025</t>
  </si>
  <si>
    <t>07/26/2025</t>
  </si>
  <si>
    <t>07/25/2025</t>
  </si>
  <si>
    <t>07/24/2025</t>
  </si>
  <si>
    <t>07/23/2025</t>
  </si>
  <si>
    <t>07/22/2025</t>
  </si>
  <si>
    <t>07/21/2025</t>
  </si>
  <si>
    <t>07/20/2025</t>
  </si>
  <si>
    <t>07/19/2025</t>
  </si>
  <si>
    <t>07/18/2025</t>
  </si>
  <si>
    <t>07/17/2025</t>
  </si>
  <si>
    <t>07/16/2025</t>
  </si>
  <si>
    <t>07/15/2025</t>
  </si>
  <si>
    <t>07/14/2025</t>
  </si>
  <si>
    <t>07/13/2025</t>
  </si>
  <si>
    <t>07/12/2025</t>
  </si>
  <si>
    <t>07/11/2025</t>
  </si>
  <si>
    <t>07/10/2025</t>
  </si>
  <si>
    <t>07/09/2025</t>
  </si>
  <si>
    <t>07/08/2025</t>
  </si>
  <si>
    <t>07/07/2025</t>
  </si>
  <si>
    <t>07/06/2025</t>
  </si>
  <si>
    <t>07/05/2025</t>
  </si>
  <si>
    <t>07/04/2025</t>
  </si>
  <si>
    <t>07/03/2025</t>
  </si>
  <si>
    <t>07/02/2025</t>
  </si>
  <si>
    <t>07/01/2025</t>
  </si>
  <si>
    <t>06/30/2025</t>
  </si>
  <si>
    <t>06/29/2025</t>
  </si>
  <si>
    <t>06/28/2025</t>
  </si>
  <si>
    <t>06/27/2025</t>
  </si>
  <si>
    <t>06/26/2025</t>
  </si>
  <si>
    <t>06/25/2025</t>
  </si>
  <si>
    <t>06/24/2025</t>
  </si>
  <si>
    <t>06/23/2025</t>
  </si>
  <si>
    <t>06/22/2025</t>
  </si>
  <si>
    <t>06/21/2025</t>
  </si>
  <si>
    <t>06/20/2025</t>
  </si>
  <si>
    <t>06/19/2025</t>
  </si>
  <si>
    <t>06/18/2025</t>
  </si>
  <si>
    <t>06/17/2025</t>
  </si>
  <si>
    <t>06/16/2025</t>
  </si>
  <si>
    <t>06/15/2025</t>
  </si>
  <si>
    <t>06/14/2025</t>
  </si>
  <si>
    <t>06/13/2025</t>
  </si>
  <si>
    <t>06/12/2025</t>
  </si>
  <si>
    <t>06/11/2025</t>
  </si>
  <si>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</si>
  <si>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</si>
  <si>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</si>
  <si>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</si>
  <si>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</si>
  <si>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</si>
  <si>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</si>
  <si>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</si>
  <si>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</si>
  <si>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</si>
  <si>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</si>
  <si>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</si>
  <si>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</si>
  <si>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</si>
  <si>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Tanker (Bidirectional)</t>
  </si>
  <si>
    <t>Chemical / Products Tanker</t>
  </si>
  <si>
    <t>East&gt;West Tanker</t>
  </si>
  <si>
    <t>West&gt;East Tanker</t>
  </si>
  <si>
    <t>Crude Oil Tanker</t>
  </si>
  <si>
    <t>LNG Tanker</t>
  </si>
  <si>
    <t>LPG Tanker</t>
  </si>
  <si>
    <t>DWT Conversion</t>
  </si>
  <si>
    <t>DWT per BO/E</t>
  </si>
  <si>
    <t xml:space="preserve">Conversion Table </t>
  </si>
  <si>
    <t>Hisorical Average Before feb 24</t>
  </si>
  <si>
    <t xml:space="preserve">Per Day </t>
  </si>
  <si>
    <t>Hisorical Average After feb 24</t>
  </si>
  <si>
    <t>Start of Hormuz Decline</t>
  </si>
  <si>
    <t>Days</t>
  </si>
  <si>
    <t>Average Total Count</t>
  </si>
  <si>
    <t>Actual BOE</t>
  </si>
  <si>
    <t>Estimated Short Fall</t>
  </si>
  <si>
    <t>Barrels of Oil</t>
  </si>
  <si>
    <t>Barrels of Oil Equivilant</t>
  </si>
  <si>
    <t>China Shut Down For…</t>
  </si>
  <si>
    <t xml:space="preserve">China Consumprtion per day </t>
  </si>
  <si>
    <t>Oil ONLY</t>
  </si>
  <si>
    <t xml:space="preserve">USA Consumprtion per day </t>
  </si>
  <si>
    <t xml:space="preserve">EU Consumprtion per day </t>
  </si>
  <si>
    <t xml:space="preserve">Global Consumprtion per day </t>
  </si>
  <si>
    <t>WDS</t>
  </si>
  <si>
    <t>BPT</t>
  </si>
  <si>
    <t>STO</t>
  </si>
  <si>
    <t>ALD</t>
  </si>
  <si>
    <t xml:space="preserve">IS </t>
  </si>
  <si>
    <t>China Shut Down For…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</si>
</sst>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34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0" fontId="3" numFmtId="0" xfId="0" applyBorder="1" applyFont="1"/>
    <xf borderId="3" fillId="0" fontId="3" numFmtId="0" xfId="0" applyBorder="1" applyFont="1"/>
    <xf borderId="2" fillId="0" fontId="4" numFmtId="164" xfId="0" applyBorder="1" applyFont="1" applyNumberFormat="1"/>
    <xf borderId="4" fillId="0" fontId="4" numFmtId="164" xfId="0" applyBorder="1" applyFont="1" applyNumberFormat="1"/>
    <xf borderId="3" fillId="0" fontId="4" numFmtId="164" xfId="0" applyBorder="1" applyFont="1" applyNumberFormat="1"/>
    <xf borderId="5" fillId="0" fontId="3" numFmtId="0" xfId="0" applyBorder="1" applyFont="1"/>
    <xf borderId="6" fillId="0" fontId="3" numFmtId="0" xfId="0" applyBorder="1" applyFont="1"/>
    <xf borderId="5" fillId="0" fontId="3" numFmtId="164" xfId="0" applyBorder="1" applyFont="1" applyNumberFormat="1"/>
    <xf borderId="7" fillId="0" fontId="3" numFmtId="164" xfId="0" applyBorder="1" applyFont="1" applyNumberFormat="1"/>
    <xf borderId="6" fillId="0" fontId="3" numFmtId="164" xfId="0" applyBorder="1" applyFont="1" applyNumberFormat="1"/>
    <xf borderId="8" fillId="0" fontId="3" numFmtId="0" xfId="0" applyBorder="1" applyFont="1"/>
    <xf borderId="9" fillId="0" fontId="3" numFmtId="0" xfId="0" applyBorder="1" applyFont="1"/>
    <xf borderId="8" fillId="0" fontId="3" numFmtId="164" xfId="0" applyBorder="1" applyFont="1" applyNumberFormat="1"/>
    <xf borderId="10" fillId="0" fontId="3" numFmtId="164" xfId="0" applyBorder="1" applyFont="1" applyNumberFormat="1"/>
    <xf borderId="9" fillId="0" fontId="3" numFmtId="164" xfId="0" applyBorder="1" applyFont="1" applyNumberFormat="1"/>
    <xf borderId="11" fillId="0" fontId="4" numFmtId="0" xfId="0" applyBorder="1" applyFont="1"/>
    <xf borderId="12" fillId="0" fontId="3" numFmtId="0" xfId="0" applyBorder="1" applyFont="1"/>
    <xf borderId="3" fillId="0" fontId="3" numFmtId="164" xfId="0" applyBorder="1" applyFont="1" applyNumberFormat="1"/>
    <xf borderId="12" fillId="0" fontId="4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164" xfId="0" applyBorder="1" applyFont="1" applyNumberFormat="1"/>
    <xf borderId="18" fillId="0" fontId="3" numFmtId="0" xfId="0" applyBorder="1" applyFont="1"/>
    <xf borderId="19" fillId="0" fontId="3" numFmtId="164" xfId="0" applyBorder="1" applyFont="1" applyNumberFormat="1"/>
    <xf borderId="20" fillId="0" fontId="3" numFmtId="0" xfId="0" applyBorder="1" applyFont="1"/>
    <xf borderId="21" fillId="0" fontId="3" numFmtId="164" xfId="0" applyBorder="1" applyFont="1" applyNumberFormat="1"/>
    <xf borderId="22" fillId="0" fontId="3" numFmtId="0" xfId="0" applyBorder="1" applyFont="1"/>
    <xf borderId="4" fillId="0" fontId="3" numFmtId="164" xfId="0" applyBorder="1" applyFont="1" applyNumberForma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0" fillId="0" fontId="3" numFmtId="14" xfId="0" applyFont="1" applyNumberFormat="1"/>
    <xf borderId="23" fillId="0" fontId="3" numFmtId="164" xfId="0" applyBorder="1" applyFont="1" applyNumberFormat="1"/>
    <xf borderId="26" fillId="0" fontId="3" numFmtId="0" xfId="0" applyBorder="1" applyFont="1"/>
    <xf borderId="24" fillId="0" fontId="3" numFmtId="164" xfId="0" applyBorder="1" applyFont="1" applyNumberFormat="1"/>
    <xf borderId="27" fillId="0" fontId="3" numFmtId="0" xfId="0" applyBorder="1" applyFont="1"/>
    <xf borderId="25" fillId="0" fontId="3" numFmtId="164" xfId="0" applyBorder="1" applyFont="1" applyNumberFormat="1"/>
    <xf borderId="28" fillId="0" fontId="3" numFmtId="0" xfId="0" applyBorder="1" applyFont="1"/>
    <xf borderId="29" fillId="0" fontId="4" numFmtId="164" xfId="0" applyBorder="1" applyFont="1" applyNumberFormat="1"/>
    <xf borderId="28" fillId="0" fontId="4" numFmtId="164" xfId="0" applyBorder="1" applyFont="1" applyNumberFormat="1"/>
    <xf borderId="30" fillId="0" fontId="4" numFmtId="164" xfId="0" applyBorder="1" applyFont="1" applyNumberForma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9.14"/>
    <col customWidth="1" min="3" max="3" width="16.86"/>
    <col customWidth="1" min="4" max="4" width="21.0"/>
    <col customWidth="1" min="5" max="5" width="22.14"/>
    <col customWidth="1" min="6" max="6" width="12.14"/>
    <col customWidth="1" min="7" max="7" width="10.86"/>
    <col customWidth="1" min="8" max="8" width="12.14"/>
    <col customWidth="1" min="9" max="9" width="10.86"/>
    <col customWidth="1" min="10" max="10" width="11.14"/>
    <col customWidth="1" min="11" max="11" width="10.86"/>
    <col customWidth="1" min="12" max="13" width="12.14"/>
    <col customWidth="1" min="14" max="14" width="11.14"/>
    <col customWidth="1" min="15" max="17" width="12.14"/>
    <col customWidth="1" min="18" max="18" width="11.14"/>
    <col customWidth="1" min="19" max="19" width="12.14"/>
    <col customWidth="1" min="20" max="24" width="10.86"/>
    <col customWidth="1" min="25" max="26" width="11.14"/>
    <col customWidth="1" min="27" max="27" width="12.14"/>
    <col customWidth="1" min="28" max="30" width="11.14"/>
    <col customWidth="1" min="31" max="31" width="12.14"/>
    <col customWidth="1" min="32" max="32" width="11.14"/>
    <col customWidth="1" min="33" max="33" width="12.14"/>
    <col customWidth="1" min="34" max="35" width="11.14"/>
    <col customWidth="1" min="36" max="36" width="10.86"/>
    <col customWidth="1" min="37" max="39" width="12.14"/>
    <col customWidth="1" min="40" max="40" width="10.86"/>
    <col customWidth="1" min="41" max="41" width="12.14"/>
    <col customWidth="1" min="42" max="42" width="11.14"/>
    <col customWidth="1" min="43" max="47" width="12.14"/>
    <col customWidth="1" min="48" max="48" width="13.86"/>
    <col customWidth="1" min="49" max="49" width="10.86"/>
    <col customWidth="1" min="50" max="50" width="12.14"/>
    <col customWidth="1" min="51" max="51" width="11.14"/>
    <col customWidth="1" min="52" max="57" width="12.14"/>
    <col customWidth="1" min="58" max="59" width="11.14"/>
    <col customWidth="1" min="60" max="63" width="12.14"/>
    <col customWidth="1" min="64" max="64" width="11.14"/>
    <col customWidth="1" min="65" max="65" width="10.86"/>
    <col customWidth="1" min="66" max="66" width="11.14"/>
    <col customWidth="1" min="67" max="67" width="12.14"/>
    <col customWidth="1" min="68" max="68" width="10.86"/>
    <col customWidth="1" min="69" max="70" width="11.14"/>
    <col customWidth="1" min="71" max="71" width="10.86"/>
    <col customWidth="1" min="72" max="73" width="11.14"/>
    <col customWidth="1" min="74" max="74" width="10.86"/>
    <col customWidth="1" min="75" max="75" width="12.14"/>
    <col customWidth="1" min="76" max="76" width="10.86"/>
    <col customWidth="1" min="77" max="77" width="12.14"/>
    <col customWidth="1" min="78" max="78" width="10.86"/>
    <col customWidth="1" min="79" max="79" width="12.14"/>
    <col customWidth="1" min="80" max="80" width="11.14"/>
    <col customWidth="1" min="81" max="83" width="12.14"/>
    <col customWidth="1" min="84" max="84" width="11.14"/>
    <col customWidth="1" min="85" max="85" width="10.86"/>
    <col customWidth="1" min="86" max="86" width="11.14"/>
    <col customWidth="1" min="87" max="87" width="12.14"/>
    <col customWidth="1" min="88" max="88" width="11.14"/>
    <col customWidth="1" min="89" max="117" width="13.86"/>
    <col customWidth="1" min="118" max="118" width="14.86"/>
    <col customWidth="1" min="119" max="242" width="13.86"/>
    <col customWidth="1" min="243" max="243" width="14.86"/>
    <col customWidth="1" min="244" max="366" width="13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</row>
    <row r="2">
      <c r="A2" s="3">
        <v>0.0</v>
      </c>
      <c r="B2" s="4" t="s">
        <v>366</v>
      </c>
      <c r="C2" s="5">
        <v>329049.0</v>
      </c>
      <c r="D2" s="6">
        <v>0.0</v>
      </c>
      <c r="E2" s="6">
        <v>0.0</v>
      </c>
      <c r="F2" s="6">
        <v>320122.0</v>
      </c>
      <c r="G2" s="6">
        <v>0.0</v>
      </c>
      <c r="H2" s="6">
        <v>131074.0</v>
      </c>
      <c r="I2" s="6">
        <v>5872.0</v>
      </c>
      <c r="J2" s="6">
        <v>45557.0</v>
      </c>
      <c r="K2" s="6">
        <v>2005.0</v>
      </c>
      <c r="L2" s="6">
        <v>320571.0</v>
      </c>
      <c r="M2" s="6">
        <v>166765.0</v>
      </c>
      <c r="N2" s="6">
        <v>25230.0</v>
      </c>
      <c r="O2" s="6">
        <v>108520.0</v>
      </c>
      <c r="P2" s="6">
        <v>677706.0</v>
      </c>
      <c r="Q2" s="6">
        <v>143031.0</v>
      </c>
      <c r="R2" s="6">
        <v>98178.0</v>
      </c>
      <c r="S2" s="6">
        <v>152890.0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26858.0</v>
      </c>
      <c r="Z2" s="6">
        <v>53347.0</v>
      </c>
      <c r="AA2" s="6">
        <v>209332.0</v>
      </c>
      <c r="AB2" s="6">
        <v>56757.0</v>
      </c>
      <c r="AC2" s="6">
        <v>81589.0</v>
      </c>
      <c r="AD2" s="6">
        <v>11047.0</v>
      </c>
      <c r="AE2" s="6">
        <v>349481.0</v>
      </c>
      <c r="AF2" s="6">
        <v>94872.0</v>
      </c>
      <c r="AG2" s="6">
        <v>117946.0</v>
      </c>
      <c r="AH2" s="6">
        <v>81116.0</v>
      </c>
      <c r="AI2" s="6">
        <v>74458.0</v>
      </c>
      <c r="AJ2" s="6">
        <v>4500.0</v>
      </c>
      <c r="AK2" s="6">
        <v>148917.0</v>
      </c>
      <c r="AL2" s="6">
        <v>156234.0</v>
      </c>
      <c r="AM2" s="6">
        <v>192668.0</v>
      </c>
      <c r="AN2" s="6">
        <v>7237.0</v>
      </c>
      <c r="AO2" s="6">
        <v>812212.0</v>
      </c>
      <c r="AP2" s="6">
        <v>57206.0</v>
      </c>
      <c r="AQ2" s="6">
        <v>149716.0</v>
      </c>
      <c r="AR2" s="6">
        <v>953664.0</v>
      </c>
      <c r="AS2" s="6">
        <v>122769.0</v>
      </c>
      <c r="AT2" s="6">
        <v>189671.0</v>
      </c>
      <c r="AU2" s="6">
        <v>625463.0</v>
      </c>
      <c r="AV2" s="6">
        <v>1033837.0</v>
      </c>
      <c r="AW2" s="6">
        <v>0.0</v>
      </c>
      <c r="AX2" s="6">
        <v>475361.0</v>
      </c>
      <c r="AY2" s="6">
        <v>46048.0</v>
      </c>
      <c r="AZ2" s="6">
        <v>316440.0</v>
      </c>
      <c r="BA2" s="6">
        <v>390378.0</v>
      </c>
      <c r="BB2" s="6">
        <v>413627.0</v>
      </c>
      <c r="BC2" s="6">
        <v>208609.0</v>
      </c>
      <c r="BD2" s="6">
        <v>154674.0</v>
      </c>
      <c r="BE2" s="6">
        <v>331442.0</v>
      </c>
      <c r="BF2" s="6">
        <v>58052.0</v>
      </c>
      <c r="BG2" s="6">
        <v>92276.0</v>
      </c>
      <c r="BH2" s="6">
        <v>121755.0</v>
      </c>
      <c r="BI2" s="6">
        <v>106500.0</v>
      </c>
      <c r="BJ2" s="6">
        <v>134479.0</v>
      </c>
      <c r="BK2" s="6">
        <v>112679.0</v>
      </c>
      <c r="BL2" s="6">
        <v>99300.0</v>
      </c>
      <c r="BM2" s="6">
        <v>0.0</v>
      </c>
      <c r="BN2" s="6">
        <v>23503.0</v>
      </c>
      <c r="BO2" s="6">
        <v>158062.0</v>
      </c>
      <c r="BP2" s="6">
        <v>0.0</v>
      </c>
      <c r="BQ2" s="6">
        <v>35775.0</v>
      </c>
      <c r="BR2" s="6">
        <v>72807.0</v>
      </c>
      <c r="BS2" s="6">
        <v>0.0</v>
      </c>
      <c r="BT2" s="6">
        <v>49301.0</v>
      </c>
      <c r="BU2" s="6">
        <v>49679.0</v>
      </c>
      <c r="BV2" s="6">
        <v>0.0</v>
      </c>
      <c r="BW2" s="6">
        <v>505119.0</v>
      </c>
      <c r="BX2" s="6">
        <v>6712.0</v>
      </c>
      <c r="BY2" s="6">
        <v>117340.0</v>
      </c>
      <c r="BZ2" s="6">
        <v>0.0</v>
      </c>
      <c r="CA2" s="6">
        <v>298972.0</v>
      </c>
      <c r="CB2" s="6">
        <v>49242.0</v>
      </c>
      <c r="CC2" s="6">
        <v>296068.0</v>
      </c>
      <c r="CD2" s="6">
        <v>364696.0</v>
      </c>
      <c r="CE2" s="6">
        <v>343786.0</v>
      </c>
      <c r="CF2" s="6">
        <v>56824.0</v>
      </c>
      <c r="CG2" s="6">
        <v>6143.0</v>
      </c>
      <c r="CH2" s="6">
        <v>46308.0</v>
      </c>
      <c r="CI2" s="6">
        <v>113623.0</v>
      </c>
      <c r="CJ2" s="6">
        <v>14806.0</v>
      </c>
      <c r="CK2" s="6">
        <v>1132410.0</v>
      </c>
      <c r="CL2" s="6">
        <v>6331197.0</v>
      </c>
      <c r="CM2" s="6">
        <v>7507803.0</v>
      </c>
      <c r="CN2" s="6">
        <v>8018564.0</v>
      </c>
      <c r="CO2" s="6">
        <v>7887177.0</v>
      </c>
      <c r="CP2" s="6">
        <v>6903315.0</v>
      </c>
      <c r="CQ2" s="6">
        <v>7998125.0</v>
      </c>
      <c r="CR2" s="6">
        <v>7959626.0</v>
      </c>
      <c r="CS2" s="6">
        <v>7145081.0</v>
      </c>
      <c r="CT2" s="6">
        <v>6685820.0</v>
      </c>
      <c r="CU2" s="6">
        <v>8206696.0</v>
      </c>
      <c r="CV2" s="6">
        <v>8921917.0</v>
      </c>
      <c r="CW2" s="6">
        <v>7767436.0</v>
      </c>
      <c r="CX2" s="6">
        <v>8857550.0</v>
      </c>
      <c r="CY2" s="6">
        <v>5814557.0</v>
      </c>
      <c r="CZ2" s="6">
        <v>9212555.0</v>
      </c>
      <c r="DA2" s="6">
        <v>8820664.0</v>
      </c>
      <c r="DB2" s="6">
        <v>7004146.0</v>
      </c>
      <c r="DC2" s="6">
        <v>8032417.0</v>
      </c>
      <c r="DD2" s="6">
        <v>7426351.0</v>
      </c>
      <c r="DE2" s="6">
        <v>6408877.0</v>
      </c>
      <c r="DF2" s="6">
        <v>6103772.0</v>
      </c>
      <c r="DG2" s="6">
        <v>6970031.0</v>
      </c>
      <c r="DH2" s="6">
        <v>8250978.0</v>
      </c>
      <c r="DI2" s="6">
        <v>6247765.0</v>
      </c>
      <c r="DJ2" s="6">
        <v>6723591.0</v>
      </c>
      <c r="DK2" s="6">
        <v>8804474.0</v>
      </c>
      <c r="DL2" s="6">
        <v>6526842.0</v>
      </c>
      <c r="DM2" s="6">
        <v>6269802.0</v>
      </c>
      <c r="DN2" s="6">
        <v>1.0309357E7</v>
      </c>
      <c r="DO2" s="6">
        <v>6747188.0</v>
      </c>
      <c r="DP2" s="6">
        <v>8788172.0</v>
      </c>
      <c r="DQ2" s="6">
        <v>7268618.0</v>
      </c>
      <c r="DR2" s="6">
        <v>4363649.0</v>
      </c>
      <c r="DS2" s="6">
        <v>7728303.0</v>
      </c>
      <c r="DT2" s="6">
        <v>9080803.0</v>
      </c>
      <c r="DU2" s="6">
        <v>5742444.0</v>
      </c>
      <c r="DV2" s="6">
        <v>7577626.0</v>
      </c>
      <c r="DW2" s="6">
        <v>6418724.0</v>
      </c>
      <c r="DX2" s="6">
        <v>8295902.0</v>
      </c>
      <c r="DY2" s="6">
        <v>8856574.0</v>
      </c>
      <c r="DZ2" s="6">
        <v>4791263.0</v>
      </c>
      <c r="EA2" s="6">
        <v>6316549.0</v>
      </c>
      <c r="EB2" s="6">
        <v>5611684.0</v>
      </c>
      <c r="EC2" s="6">
        <v>6206983.0</v>
      </c>
      <c r="ED2" s="6">
        <v>8051296.0</v>
      </c>
      <c r="EE2" s="6">
        <v>6740386.0</v>
      </c>
      <c r="EF2" s="6">
        <v>7119160.0</v>
      </c>
      <c r="EG2" s="6">
        <v>8192650.0</v>
      </c>
      <c r="EH2" s="6">
        <v>5954598.0</v>
      </c>
      <c r="EI2" s="6">
        <v>7570680.0</v>
      </c>
      <c r="EJ2" s="6">
        <v>7789450.0</v>
      </c>
      <c r="EK2" s="6">
        <v>6415961.0</v>
      </c>
      <c r="EL2" s="6">
        <v>6177486.0</v>
      </c>
      <c r="EM2" s="6">
        <v>5737738.0</v>
      </c>
      <c r="EN2" s="6">
        <v>6906524.0</v>
      </c>
      <c r="EO2" s="6">
        <v>7307879.0</v>
      </c>
      <c r="EP2" s="6">
        <v>7575854.0</v>
      </c>
      <c r="EQ2" s="6">
        <v>6124158.0</v>
      </c>
      <c r="ER2" s="6">
        <v>6494390.0</v>
      </c>
      <c r="ES2" s="6">
        <v>4392997.0</v>
      </c>
      <c r="ET2" s="6">
        <v>4862475.0</v>
      </c>
      <c r="EU2" s="6">
        <v>5185190.0</v>
      </c>
      <c r="EV2" s="6">
        <v>5606052.0</v>
      </c>
      <c r="EW2" s="6">
        <v>8868893.0</v>
      </c>
      <c r="EX2" s="6">
        <v>8392783.0</v>
      </c>
      <c r="EY2" s="6">
        <v>5748673.0</v>
      </c>
      <c r="EZ2" s="6">
        <v>7266337.0</v>
      </c>
      <c r="FA2" s="6">
        <v>8680584.0</v>
      </c>
      <c r="FB2" s="6">
        <v>6753278.0</v>
      </c>
      <c r="FC2" s="6">
        <v>5485016.0</v>
      </c>
      <c r="FD2" s="6">
        <v>3385032.0</v>
      </c>
      <c r="FE2" s="6">
        <v>6459288.0</v>
      </c>
      <c r="FF2" s="6">
        <v>8442543.0</v>
      </c>
      <c r="FG2" s="6">
        <v>4647835.0</v>
      </c>
      <c r="FH2" s="6">
        <v>6924997.0</v>
      </c>
      <c r="FI2" s="6">
        <v>6833741.0</v>
      </c>
      <c r="FJ2" s="6">
        <v>8755885.0</v>
      </c>
      <c r="FK2" s="6">
        <v>4869807.0</v>
      </c>
      <c r="FL2" s="6">
        <v>6684546.0</v>
      </c>
      <c r="FM2" s="6">
        <v>6685098.0</v>
      </c>
      <c r="FN2" s="6">
        <v>6909514.0</v>
      </c>
      <c r="FO2" s="6">
        <v>6615355.0</v>
      </c>
      <c r="FP2" s="6">
        <v>5980547.0</v>
      </c>
      <c r="FQ2" s="6">
        <v>7404863.0</v>
      </c>
      <c r="FR2" s="6">
        <v>5451569.0</v>
      </c>
      <c r="FS2" s="6">
        <v>5400679.0</v>
      </c>
      <c r="FT2" s="6">
        <v>8260239.0</v>
      </c>
      <c r="FU2" s="6">
        <v>5344667.0</v>
      </c>
      <c r="FV2" s="6">
        <v>8042293.0</v>
      </c>
      <c r="FW2" s="6">
        <v>7088267.0</v>
      </c>
      <c r="FX2" s="6">
        <v>6525665.0</v>
      </c>
      <c r="FY2" s="6">
        <v>6499765.0</v>
      </c>
      <c r="FZ2" s="6">
        <v>5075742.0</v>
      </c>
      <c r="GA2" s="6">
        <v>7621014.0</v>
      </c>
      <c r="GB2" s="6">
        <v>7293757.0</v>
      </c>
      <c r="GC2" s="6">
        <v>7817092.0</v>
      </c>
      <c r="GD2" s="6">
        <v>4930777.0</v>
      </c>
      <c r="GE2" s="6">
        <v>8337525.0</v>
      </c>
      <c r="GF2" s="6">
        <v>6650324.0</v>
      </c>
      <c r="GG2" s="6">
        <v>7934116.0</v>
      </c>
      <c r="GH2" s="6">
        <v>8380106.0</v>
      </c>
      <c r="GI2" s="6">
        <v>6953251.0</v>
      </c>
      <c r="GJ2" s="6">
        <v>7705485.0</v>
      </c>
      <c r="GK2" s="6">
        <v>7194292.0</v>
      </c>
      <c r="GL2" s="6">
        <v>7205778.0</v>
      </c>
      <c r="GM2" s="6">
        <v>7117784.0</v>
      </c>
      <c r="GN2" s="6">
        <v>7287565.0</v>
      </c>
      <c r="GO2" s="6">
        <v>7221329.0</v>
      </c>
      <c r="GP2" s="6">
        <v>7866077.0</v>
      </c>
      <c r="GQ2" s="6">
        <v>6709141.0</v>
      </c>
      <c r="GR2" s="6">
        <v>6537662.0</v>
      </c>
      <c r="GS2" s="6">
        <v>8108699.0</v>
      </c>
      <c r="GT2" s="6">
        <v>7758691.0</v>
      </c>
      <c r="GU2" s="6">
        <v>6158745.0</v>
      </c>
      <c r="GV2" s="6">
        <v>7003409.0</v>
      </c>
      <c r="GW2" s="6">
        <v>7222640.0</v>
      </c>
      <c r="GX2" s="6">
        <v>8570613.0</v>
      </c>
      <c r="GY2" s="6">
        <v>6421932.0</v>
      </c>
      <c r="GZ2" s="6">
        <v>7118717.0</v>
      </c>
      <c r="HA2" s="6">
        <v>7253702.0</v>
      </c>
      <c r="HB2" s="6">
        <v>7451479.0</v>
      </c>
      <c r="HC2" s="6">
        <v>7343729.0</v>
      </c>
      <c r="HD2" s="6">
        <v>6671338.0</v>
      </c>
      <c r="HE2" s="6">
        <v>5882092.0</v>
      </c>
      <c r="HF2" s="6">
        <v>6153132.0</v>
      </c>
      <c r="HG2" s="6">
        <v>5664729.0</v>
      </c>
      <c r="HH2" s="6">
        <v>8268780.0</v>
      </c>
      <c r="HI2" s="6">
        <v>9080618.0</v>
      </c>
      <c r="HJ2" s="6">
        <v>6170915.0</v>
      </c>
      <c r="HK2" s="6">
        <v>6820967.0</v>
      </c>
      <c r="HL2" s="6">
        <v>7899654.0</v>
      </c>
      <c r="HM2" s="6">
        <v>6997785.0</v>
      </c>
      <c r="HN2" s="6">
        <v>7299876.0</v>
      </c>
      <c r="HO2" s="6">
        <v>5662200.0</v>
      </c>
      <c r="HP2" s="6">
        <v>7419774.0</v>
      </c>
      <c r="HQ2" s="6">
        <v>6136556.0</v>
      </c>
      <c r="HR2" s="6">
        <v>8055975.0</v>
      </c>
      <c r="HS2" s="6">
        <v>8160219.0</v>
      </c>
      <c r="HT2" s="6">
        <v>6846327.0</v>
      </c>
      <c r="HU2" s="6">
        <v>5511299.0</v>
      </c>
      <c r="HV2" s="6">
        <v>8750860.0</v>
      </c>
      <c r="HW2" s="6">
        <v>7072151.0</v>
      </c>
      <c r="HX2" s="6">
        <v>8254356.0</v>
      </c>
      <c r="HY2" s="6">
        <v>5982363.0</v>
      </c>
      <c r="HZ2" s="6">
        <v>9194759.0</v>
      </c>
      <c r="IA2" s="6">
        <v>5245087.0</v>
      </c>
      <c r="IB2" s="6">
        <v>8795034.0</v>
      </c>
      <c r="IC2" s="6">
        <v>6104883.0</v>
      </c>
      <c r="ID2" s="6">
        <v>6097694.0</v>
      </c>
      <c r="IE2" s="6">
        <v>8646998.0</v>
      </c>
      <c r="IF2" s="6">
        <v>6725107.0</v>
      </c>
      <c r="IG2" s="6">
        <v>5541615.0</v>
      </c>
      <c r="IH2" s="6">
        <v>6734605.0</v>
      </c>
      <c r="II2" s="6">
        <v>1.0511477E7</v>
      </c>
      <c r="IJ2" s="6">
        <v>7737952.0</v>
      </c>
      <c r="IK2" s="6">
        <v>6268280.0</v>
      </c>
      <c r="IL2" s="6">
        <v>6644496.0</v>
      </c>
      <c r="IM2" s="6">
        <v>6353538.0</v>
      </c>
      <c r="IN2" s="6">
        <v>7696114.0</v>
      </c>
      <c r="IO2" s="6">
        <v>7022671.0</v>
      </c>
      <c r="IP2" s="6">
        <v>8785925.0</v>
      </c>
      <c r="IQ2" s="6">
        <v>7501894.0</v>
      </c>
      <c r="IR2" s="6">
        <v>7107980.0</v>
      </c>
      <c r="IS2" s="6">
        <v>7611246.0</v>
      </c>
      <c r="IT2" s="6">
        <v>6085930.0</v>
      </c>
      <c r="IU2" s="6">
        <v>8457261.0</v>
      </c>
      <c r="IV2" s="6">
        <v>6471632.0</v>
      </c>
      <c r="IW2" s="6">
        <v>6822109.0</v>
      </c>
      <c r="IX2" s="6">
        <v>6223690.0</v>
      </c>
      <c r="IY2" s="6">
        <v>8314387.0</v>
      </c>
      <c r="IZ2" s="6">
        <v>6189822.0</v>
      </c>
      <c r="JA2" s="6">
        <v>7628555.0</v>
      </c>
      <c r="JB2" s="6">
        <v>5891467.0</v>
      </c>
      <c r="JC2" s="6">
        <v>7986261.0</v>
      </c>
      <c r="JD2" s="6">
        <v>6583434.0</v>
      </c>
      <c r="JE2" s="6">
        <v>8018451.0</v>
      </c>
      <c r="JF2" s="6">
        <v>8283018.0</v>
      </c>
      <c r="JG2" s="6">
        <v>8840008.0</v>
      </c>
      <c r="JH2" s="6">
        <v>5724714.0</v>
      </c>
      <c r="JI2" s="6">
        <v>6942867.0</v>
      </c>
      <c r="JJ2" s="6">
        <v>6615514.0</v>
      </c>
      <c r="JK2" s="6">
        <v>8989010.0</v>
      </c>
      <c r="JL2" s="6">
        <v>7860846.0</v>
      </c>
      <c r="JM2" s="6">
        <v>6511114.0</v>
      </c>
      <c r="JN2" s="6">
        <v>6385725.0</v>
      </c>
      <c r="JO2" s="6">
        <v>8400384.0</v>
      </c>
      <c r="JP2" s="6">
        <v>7114545.0</v>
      </c>
      <c r="JQ2" s="6">
        <v>6587404.0</v>
      </c>
      <c r="JR2" s="6">
        <v>7795565.0</v>
      </c>
      <c r="JS2" s="6">
        <v>7756943.0</v>
      </c>
      <c r="JT2" s="6">
        <v>7969186.0</v>
      </c>
      <c r="JU2" s="6">
        <v>6998661.0</v>
      </c>
      <c r="JV2" s="6">
        <v>5990011.0</v>
      </c>
      <c r="JW2" s="6">
        <v>6856122.0</v>
      </c>
      <c r="JX2" s="6">
        <v>6589635.0</v>
      </c>
      <c r="JY2" s="6">
        <v>9644405.0</v>
      </c>
      <c r="JZ2" s="6">
        <v>5075683.0</v>
      </c>
      <c r="KA2" s="6">
        <v>7881098.0</v>
      </c>
      <c r="KB2" s="6">
        <v>8681975.0</v>
      </c>
      <c r="KC2" s="6">
        <v>6726167.0</v>
      </c>
      <c r="KD2" s="6">
        <v>7127809.0</v>
      </c>
      <c r="KE2" s="6">
        <v>6377315.0</v>
      </c>
      <c r="KF2" s="6">
        <v>7964213.0</v>
      </c>
      <c r="KG2" s="6">
        <v>8609357.0</v>
      </c>
      <c r="KH2" s="6">
        <v>7607047.0</v>
      </c>
      <c r="KI2" s="6">
        <v>7235072.0</v>
      </c>
      <c r="KJ2" s="6">
        <v>5604656.0</v>
      </c>
      <c r="KK2" s="6">
        <v>9719551.0</v>
      </c>
      <c r="KL2" s="6">
        <v>4835792.0</v>
      </c>
      <c r="KM2" s="6">
        <v>7838656.0</v>
      </c>
      <c r="KN2" s="6">
        <v>8817255.0</v>
      </c>
      <c r="KO2" s="6">
        <v>7409017.0</v>
      </c>
      <c r="KP2" s="6">
        <v>7345248.0</v>
      </c>
      <c r="KQ2" s="6">
        <v>7613922.0</v>
      </c>
      <c r="KR2" s="6">
        <v>5921365.0</v>
      </c>
      <c r="KS2" s="6">
        <v>6651739.0</v>
      </c>
      <c r="KT2" s="6">
        <v>6701882.0</v>
      </c>
      <c r="KU2" s="6">
        <v>8708707.0</v>
      </c>
      <c r="KV2" s="6">
        <v>6288228.0</v>
      </c>
      <c r="KW2" s="6">
        <v>6043335.0</v>
      </c>
      <c r="KX2" s="6">
        <v>7155315.0</v>
      </c>
      <c r="KY2" s="6">
        <v>6015300.0</v>
      </c>
      <c r="KZ2" s="6">
        <v>7738262.0</v>
      </c>
      <c r="LA2" s="6">
        <v>7632353.0</v>
      </c>
      <c r="LB2" s="6">
        <v>6666188.0</v>
      </c>
      <c r="LC2" s="6">
        <v>7598006.0</v>
      </c>
      <c r="LD2" s="6">
        <v>7897768.0</v>
      </c>
      <c r="LE2" s="6">
        <v>6578194.0</v>
      </c>
      <c r="LF2" s="6">
        <v>6905557.0</v>
      </c>
      <c r="LG2" s="6">
        <v>8382768.0</v>
      </c>
      <c r="LH2" s="6">
        <v>5786819.0</v>
      </c>
      <c r="LI2" s="6">
        <v>7642148.0</v>
      </c>
      <c r="LJ2" s="6">
        <v>8909364.0</v>
      </c>
      <c r="LK2" s="6">
        <v>7020057.0</v>
      </c>
      <c r="LL2" s="6">
        <v>9655127.0</v>
      </c>
      <c r="LM2" s="6">
        <v>5789241.0</v>
      </c>
      <c r="LN2" s="6">
        <v>5616541.0</v>
      </c>
      <c r="LO2" s="6">
        <v>5784452.0</v>
      </c>
      <c r="LP2" s="6">
        <v>7780637.0</v>
      </c>
      <c r="LQ2" s="6">
        <v>8479027.0</v>
      </c>
      <c r="LR2" s="6">
        <v>8142134.0</v>
      </c>
      <c r="LS2" s="6">
        <v>7805794.0</v>
      </c>
      <c r="LT2" s="6">
        <v>7080264.0</v>
      </c>
      <c r="LU2" s="6">
        <v>6508438.0</v>
      </c>
      <c r="LV2" s="6">
        <v>6405141.0</v>
      </c>
      <c r="LW2" s="6">
        <v>7618894.0</v>
      </c>
      <c r="LX2" s="6">
        <v>7312701.0</v>
      </c>
      <c r="LY2" s="6">
        <v>7802573.0</v>
      </c>
      <c r="LZ2" s="6">
        <v>9674074.0</v>
      </c>
      <c r="MA2" s="6">
        <v>5653617.0</v>
      </c>
      <c r="MB2" s="6">
        <v>6282376.0</v>
      </c>
      <c r="MC2" s="6">
        <v>6904725.0</v>
      </c>
      <c r="MD2" s="6">
        <v>5617240.0</v>
      </c>
      <c r="ME2" s="6">
        <v>6274105.0</v>
      </c>
      <c r="MF2" s="6">
        <v>7456357.0</v>
      </c>
      <c r="MG2" s="6">
        <v>9509196.0</v>
      </c>
      <c r="MH2" s="6">
        <v>5639626.0</v>
      </c>
      <c r="MI2" s="6">
        <v>6984713.0</v>
      </c>
      <c r="MJ2" s="6">
        <v>7510211.0</v>
      </c>
      <c r="MK2" s="6">
        <v>7100547.0</v>
      </c>
      <c r="ML2" s="6">
        <v>6032931.0</v>
      </c>
      <c r="MM2" s="6">
        <v>7746595.0</v>
      </c>
      <c r="MN2" s="6">
        <v>5889346.0</v>
      </c>
      <c r="MO2" s="6">
        <v>7352984.0</v>
      </c>
      <c r="MP2" s="6">
        <v>8107901.0</v>
      </c>
      <c r="MQ2" s="6">
        <v>8199870.0</v>
      </c>
      <c r="MR2" s="6">
        <v>8266752.0</v>
      </c>
      <c r="MS2" s="6">
        <v>7776059.0</v>
      </c>
      <c r="MT2" s="6">
        <v>7834232.0</v>
      </c>
      <c r="MU2" s="6">
        <v>6534647.0</v>
      </c>
      <c r="MV2" s="6">
        <v>8343995.0</v>
      </c>
      <c r="MW2" s="6">
        <v>7425903.0</v>
      </c>
      <c r="MX2" s="6">
        <v>7198314.0</v>
      </c>
      <c r="MY2" s="6">
        <v>6106880.0</v>
      </c>
      <c r="MZ2" s="6">
        <v>6469178.0</v>
      </c>
      <c r="NA2" s="6">
        <v>8221827.0</v>
      </c>
      <c r="NB2" s="7">
        <v>6422767.0</v>
      </c>
    </row>
    <row r="3">
      <c r="A3" s="8">
        <v>1.0</v>
      </c>
      <c r="B3" s="9" t="s">
        <v>367</v>
      </c>
      <c r="C3" s="10">
        <v>29524.0</v>
      </c>
      <c r="D3" s="11">
        <v>0.0</v>
      </c>
      <c r="E3" s="11">
        <v>0.0</v>
      </c>
      <c r="F3" s="11">
        <v>0.0</v>
      </c>
      <c r="G3" s="11">
        <v>0.0</v>
      </c>
      <c r="H3" s="11">
        <v>60119.0</v>
      </c>
      <c r="I3" s="11">
        <v>0.0</v>
      </c>
      <c r="J3" s="11">
        <v>45557.0</v>
      </c>
      <c r="K3" s="11">
        <v>0.0</v>
      </c>
      <c r="L3" s="11">
        <v>0.0</v>
      </c>
      <c r="M3" s="11">
        <v>0.0</v>
      </c>
      <c r="N3" s="11">
        <v>7119.0</v>
      </c>
      <c r="O3" s="11">
        <v>46308.0</v>
      </c>
      <c r="P3" s="11">
        <v>0.0</v>
      </c>
      <c r="Q3" s="11">
        <v>0.0</v>
      </c>
      <c r="R3" s="11">
        <v>44970.0</v>
      </c>
      <c r="S3" s="11">
        <v>45737.0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3601.0</v>
      </c>
      <c r="Z3" s="11">
        <v>46101.0</v>
      </c>
      <c r="AA3" s="11">
        <v>94293.0</v>
      </c>
      <c r="AB3" s="11">
        <v>56757.0</v>
      </c>
      <c r="AC3" s="11">
        <v>74986.0</v>
      </c>
      <c r="AD3" s="11">
        <v>0.0</v>
      </c>
      <c r="AE3" s="11">
        <v>46048.0</v>
      </c>
      <c r="AF3" s="11">
        <v>44998.0</v>
      </c>
      <c r="AG3" s="11">
        <v>44996.0</v>
      </c>
      <c r="AH3" s="11">
        <v>75120.0</v>
      </c>
      <c r="AI3" s="11">
        <v>51202.0</v>
      </c>
      <c r="AJ3" s="11">
        <v>0.0</v>
      </c>
      <c r="AK3" s="11">
        <v>46792.0</v>
      </c>
      <c r="AL3" s="11">
        <v>156234.0</v>
      </c>
      <c r="AM3" s="11">
        <v>92798.0</v>
      </c>
      <c r="AN3" s="11">
        <v>0.0</v>
      </c>
      <c r="AO3" s="11">
        <v>161057.0</v>
      </c>
      <c r="AP3" s="11">
        <v>0.0</v>
      </c>
      <c r="AQ3" s="11">
        <v>44401.0</v>
      </c>
      <c r="AR3" s="11">
        <v>66115.0</v>
      </c>
      <c r="AS3" s="11">
        <v>116773.0</v>
      </c>
      <c r="AT3" s="11">
        <v>134696.0</v>
      </c>
      <c r="AU3" s="11">
        <v>135642.0</v>
      </c>
      <c r="AV3" s="11">
        <v>0.0</v>
      </c>
      <c r="AW3" s="11">
        <v>0.0</v>
      </c>
      <c r="AX3" s="11">
        <v>0.0</v>
      </c>
      <c r="AY3" s="11">
        <v>46048.0</v>
      </c>
      <c r="AZ3" s="11">
        <v>147037.0</v>
      </c>
      <c r="BA3" s="11">
        <v>67934.0</v>
      </c>
      <c r="BB3" s="11">
        <v>123308.0</v>
      </c>
      <c r="BC3" s="11">
        <v>179488.0</v>
      </c>
      <c r="BD3" s="11">
        <v>0.0</v>
      </c>
      <c r="BE3" s="11">
        <v>44996.0</v>
      </c>
      <c r="BF3" s="11">
        <v>7695.0</v>
      </c>
      <c r="BG3" s="11">
        <v>92276.0</v>
      </c>
      <c r="BH3" s="11">
        <v>98463.0</v>
      </c>
      <c r="BI3" s="11">
        <v>0.0</v>
      </c>
      <c r="BJ3" s="11">
        <v>0.0</v>
      </c>
      <c r="BK3" s="11">
        <v>0.0</v>
      </c>
      <c r="BL3" s="11">
        <v>0.0</v>
      </c>
      <c r="BM3" s="11">
        <v>0.0</v>
      </c>
      <c r="BN3" s="11">
        <v>0.0</v>
      </c>
      <c r="BO3" s="11">
        <v>44999.0</v>
      </c>
      <c r="BP3" s="11">
        <v>0.0</v>
      </c>
      <c r="BQ3" s="11">
        <v>35775.0</v>
      </c>
      <c r="BR3" s="11">
        <v>0.0</v>
      </c>
      <c r="BS3" s="11">
        <v>0.0</v>
      </c>
      <c r="BT3" s="11">
        <v>0.0</v>
      </c>
      <c r="BU3" s="11">
        <v>0.0</v>
      </c>
      <c r="BV3" s="11">
        <v>0.0</v>
      </c>
      <c r="BW3" s="11">
        <v>46866.0</v>
      </c>
      <c r="BX3" s="11">
        <v>6712.0</v>
      </c>
      <c r="BY3" s="11">
        <v>62806.0</v>
      </c>
      <c r="BZ3" s="11">
        <v>0.0</v>
      </c>
      <c r="CA3" s="11">
        <v>0.0</v>
      </c>
      <c r="CB3" s="11">
        <v>0.0</v>
      </c>
      <c r="CC3" s="11">
        <v>0.0</v>
      </c>
      <c r="CD3" s="11">
        <v>50154.0</v>
      </c>
      <c r="CE3" s="11">
        <v>12887.0</v>
      </c>
      <c r="CF3" s="11">
        <v>0.0</v>
      </c>
      <c r="CG3" s="11">
        <v>0.0</v>
      </c>
      <c r="CH3" s="11">
        <v>46308.0</v>
      </c>
      <c r="CI3" s="11">
        <v>7022.0</v>
      </c>
      <c r="CJ3" s="11">
        <v>0.0</v>
      </c>
      <c r="CK3" s="11">
        <v>180425.0</v>
      </c>
      <c r="CL3" s="11">
        <v>517945.0</v>
      </c>
      <c r="CM3" s="11">
        <v>1061100.0</v>
      </c>
      <c r="CN3" s="11">
        <v>1090644.0</v>
      </c>
      <c r="CO3" s="11">
        <v>677338.0</v>
      </c>
      <c r="CP3" s="11">
        <v>643493.0</v>
      </c>
      <c r="CQ3" s="11">
        <v>813372.0</v>
      </c>
      <c r="CR3" s="11">
        <v>975877.0</v>
      </c>
      <c r="CS3" s="11">
        <v>814399.0</v>
      </c>
      <c r="CT3" s="11">
        <v>826027.0</v>
      </c>
      <c r="CU3" s="11">
        <v>872165.0</v>
      </c>
      <c r="CV3" s="11">
        <v>785773.0</v>
      </c>
      <c r="CW3" s="11">
        <v>1023715.0</v>
      </c>
      <c r="CX3" s="11">
        <v>639829.0</v>
      </c>
      <c r="CY3" s="11">
        <v>720132.0</v>
      </c>
      <c r="CZ3" s="11">
        <v>1242165.0</v>
      </c>
      <c r="DA3" s="11">
        <v>730480.0</v>
      </c>
      <c r="DB3" s="11">
        <v>687892.0</v>
      </c>
      <c r="DC3" s="11">
        <v>837826.0</v>
      </c>
      <c r="DD3" s="11">
        <v>812586.0</v>
      </c>
      <c r="DE3" s="11">
        <v>715936.0</v>
      </c>
      <c r="DF3" s="11">
        <v>627854.0</v>
      </c>
      <c r="DG3" s="11">
        <v>836122.0</v>
      </c>
      <c r="DH3" s="11">
        <v>1083924.0</v>
      </c>
      <c r="DI3" s="11">
        <v>1110248.0</v>
      </c>
      <c r="DJ3" s="11">
        <v>838817.0</v>
      </c>
      <c r="DK3" s="11">
        <v>901814.0</v>
      </c>
      <c r="DL3" s="11">
        <v>594055.0</v>
      </c>
      <c r="DM3" s="11">
        <v>599693.0</v>
      </c>
      <c r="DN3" s="11">
        <v>626169.0</v>
      </c>
      <c r="DO3" s="11">
        <v>739634.0</v>
      </c>
      <c r="DP3" s="11">
        <v>796255.0</v>
      </c>
      <c r="DQ3" s="11">
        <v>757625.0</v>
      </c>
      <c r="DR3" s="11">
        <v>718357.0</v>
      </c>
      <c r="DS3" s="11">
        <v>1154599.0</v>
      </c>
      <c r="DT3" s="11">
        <v>606561.0</v>
      </c>
      <c r="DU3" s="11">
        <v>831839.0</v>
      </c>
      <c r="DV3" s="11">
        <v>627445.0</v>
      </c>
      <c r="DW3" s="11">
        <v>361874.0</v>
      </c>
      <c r="DX3" s="11">
        <v>353951.0</v>
      </c>
      <c r="DY3" s="11">
        <v>551951.0</v>
      </c>
      <c r="DZ3" s="11">
        <v>789284.0</v>
      </c>
      <c r="EA3" s="11">
        <v>617481.0</v>
      </c>
      <c r="EB3" s="11">
        <v>564250.0</v>
      </c>
      <c r="EC3" s="11">
        <v>594622.0</v>
      </c>
      <c r="ED3" s="11">
        <v>984258.0</v>
      </c>
      <c r="EE3" s="11">
        <v>744871.0</v>
      </c>
      <c r="EF3" s="11">
        <v>753599.0</v>
      </c>
      <c r="EG3" s="11">
        <v>518667.0</v>
      </c>
      <c r="EH3" s="11">
        <v>958606.0</v>
      </c>
      <c r="EI3" s="11">
        <v>996170.0</v>
      </c>
      <c r="EJ3" s="11">
        <v>649518.0</v>
      </c>
      <c r="EK3" s="11">
        <v>509349.0</v>
      </c>
      <c r="EL3" s="11">
        <v>792199.0</v>
      </c>
      <c r="EM3" s="11">
        <v>541372.0</v>
      </c>
      <c r="EN3" s="11">
        <v>508824.0</v>
      </c>
      <c r="EO3" s="11">
        <v>585049.0</v>
      </c>
      <c r="EP3" s="11">
        <v>634534.0</v>
      </c>
      <c r="EQ3" s="11">
        <v>652264.0</v>
      </c>
      <c r="ER3" s="11">
        <v>214868.0</v>
      </c>
      <c r="ES3" s="11">
        <v>583895.0</v>
      </c>
      <c r="ET3" s="11">
        <v>795727.0</v>
      </c>
      <c r="EU3" s="11">
        <v>720595.0</v>
      </c>
      <c r="EV3" s="11">
        <v>602437.0</v>
      </c>
      <c r="EW3" s="11">
        <v>580512.0</v>
      </c>
      <c r="EX3" s="11">
        <v>791539.0</v>
      </c>
      <c r="EY3" s="11">
        <v>582061.0</v>
      </c>
      <c r="EZ3" s="11">
        <v>595642.0</v>
      </c>
      <c r="FA3" s="11">
        <v>665975.0</v>
      </c>
      <c r="FB3" s="11">
        <v>921529.0</v>
      </c>
      <c r="FC3" s="11">
        <v>266309.0</v>
      </c>
      <c r="FD3" s="11">
        <v>568910.0</v>
      </c>
      <c r="FE3" s="11">
        <v>694572.0</v>
      </c>
      <c r="FF3" s="11">
        <v>709144.0</v>
      </c>
      <c r="FG3" s="11">
        <v>823290.0</v>
      </c>
      <c r="FH3" s="11">
        <v>902006.0</v>
      </c>
      <c r="FI3" s="11">
        <v>541695.0</v>
      </c>
      <c r="FJ3" s="11">
        <v>620656.0</v>
      </c>
      <c r="FK3" s="11">
        <v>625759.0</v>
      </c>
      <c r="FL3" s="11">
        <v>544813.0</v>
      </c>
      <c r="FM3" s="11">
        <v>940701.0</v>
      </c>
      <c r="FN3" s="11">
        <v>612432.0</v>
      </c>
      <c r="FO3" s="11">
        <v>966759.0</v>
      </c>
      <c r="FP3" s="11">
        <v>626442.0</v>
      </c>
      <c r="FQ3" s="11">
        <v>708506.0</v>
      </c>
      <c r="FR3" s="11">
        <v>643235.0</v>
      </c>
      <c r="FS3" s="11">
        <v>757271.0</v>
      </c>
      <c r="FT3" s="11">
        <v>530861.0</v>
      </c>
      <c r="FU3" s="11">
        <v>809267.0</v>
      </c>
      <c r="FV3" s="11">
        <v>614223.0</v>
      </c>
      <c r="FW3" s="11">
        <v>762316.0</v>
      </c>
      <c r="FX3" s="11">
        <v>585629.0</v>
      </c>
      <c r="FY3" s="11">
        <v>576177.0</v>
      </c>
      <c r="FZ3" s="11">
        <v>580825.0</v>
      </c>
      <c r="GA3" s="11">
        <v>650570.0</v>
      </c>
      <c r="GB3" s="11">
        <v>658650.0</v>
      </c>
      <c r="GC3" s="11">
        <v>811928.0</v>
      </c>
      <c r="GD3" s="11">
        <v>688494.0</v>
      </c>
      <c r="GE3" s="11">
        <v>908643.0</v>
      </c>
      <c r="GF3" s="11">
        <v>671227.0</v>
      </c>
      <c r="GG3" s="11">
        <v>865954.0</v>
      </c>
      <c r="GH3" s="11">
        <v>1011963.0</v>
      </c>
      <c r="GI3" s="11">
        <v>1149302.0</v>
      </c>
      <c r="GJ3" s="11">
        <v>684295.0</v>
      </c>
      <c r="GK3" s="11">
        <v>862739.0</v>
      </c>
      <c r="GL3" s="11">
        <v>609709.0</v>
      </c>
      <c r="GM3" s="11">
        <v>624175.0</v>
      </c>
      <c r="GN3" s="11">
        <v>751570.0</v>
      </c>
      <c r="GO3" s="11">
        <v>607834.0</v>
      </c>
      <c r="GP3" s="11">
        <v>1118310.0</v>
      </c>
      <c r="GQ3" s="11">
        <v>784149.0</v>
      </c>
      <c r="GR3" s="11">
        <v>549801.0</v>
      </c>
      <c r="GS3" s="11">
        <v>791661.0</v>
      </c>
      <c r="GT3" s="11">
        <v>891017.0</v>
      </c>
      <c r="GU3" s="11">
        <v>692564.0</v>
      </c>
      <c r="GV3" s="11">
        <v>800941.0</v>
      </c>
      <c r="GW3" s="11">
        <v>650746.0</v>
      </c>
      <c r="GX3" s="11">
        <v>1449649.0</v>
      </c>
      <c r="GY3" s="11">
        <v>756564.0</v>
      </c>
      <c r="GZ3" s="11">
        <v>674833.0</v>
      </c>
      <c r="HA3" s="11">
        <v>1103739.0</v>
      </c>
      <c r="HB3" s="11">
        <v>422372.0</v>
      </c>
      <c r="HC3" s="11">
        <v>794523.0</v>
      </c>
      <c r="HD3" s="11">
        <v>766807.0</v>
      </c>
      <c r="HE3" s="11">
        <v>602844.0</v>
      </c>
      <c r="HF3" s="11">
        <v>972030.0</v>
      </c>
      <c r="HG3" s="11">
        <v>709705.0</v>
      </c>
      <c r="HH3" s="11">
        <v>708923.0</v>
      </c>
      <c r="HI3" s="11">
        <v>1031306.0</v>
      </c>
      <c r="HJ3" s="11">
        <v>757594.0</v>
      </c>
      <c r="HK3" s="11">
        <v>603697.0</v>
      </c>
      <c r="HL3" s="11">
        <v>753257.0</v>
      </c>
      <c r="HM3" s="11">
        <v>926599.0</v>
      </c>
      <c r="HN3" s="11">
        <v>927613.0</v>
      </c>
      <c r="HO3" s="11">
        <v>701092.0</v>
      </c>
      <c r="HP3" s="11">
        <v>681076.0</v>
      </c>
      <c r="HQ3" s="11">
        <v>461219.0</v>
      </c>
      <c r="HR3" s="11">
        <v>820322.0</v>
      </c>
      <c r="HS3" s="11">
        <v>782921.0</v>
      </c>
      <c r="HT3" s="11">
        <v>741529.0</v>
      </c>
      <c r="HU3" s="11">
        <v>659213.0</v>
      </c>
      <c r="HV3" s="11">
        <v>652600.0</v>
      </c>
      <c r="HW3" s="11">
        <v>478991.0</v>
      </c>
      <c r="HX3" s="11">
        <v>1090876.0</v>
      </c>
      <c r="HY3" s="11">
        <v>788268.0</v>
      </c>
      <c r="HZ3" s="11">
        <v>825454.0</v>
      </c>
      <c r="IA3" s="11">
        <v>630985.0</v>
      </c>
      <c r="IB3" s="11">
        <v>989610.0</v>
      </c>
      <c r="IC3" s="11">
        <v>991145.0</v>
      </c>
      <c r="ID3" s="11">
        <v>644868.0</v>
      </c>
      <c r="IE3" s="11">
        <v>602997.0</v>
      </c>
      <c r="IF3" s="11">
        <v>1026437.0</v>
      </c>
      <c r="IG3" s="11">
        <v>697931.0</v>
      </c>
      <c r="IH3" s="11">
        <v>1280465.0</v>
      </c>
      <c r="II3" s="11">
        <v>982243.0</v>
      </c>
      <c r="IJ3" s="11">
        <v>1005897.0</v>
      </c>
      <c r="IK3" s="11">
        <v>735964.0</v>
      </c>
      <c r="IL3" s="11">
        <v>691309.0</v>
      </c>
      <c r="IM3" s="11">
        <v>627363.0</v>
      </c>
      <c r="IN3" s="11">
        <v>1118272.0</v>
      </c>
      <c r="IO3" s="11">
        <v>424579.0</v>
      </c>
      <c r="IP3" s="11">
        <v>846522.0</v>
      </c>
      <c r="IQ3" s="11">
        <v>1150190.0</v>
      </c>
      <c r="IR3" s="11">
        <v>858641.0</v>
      </c>
      <c r="IS3" s="11">
        <v>1106864.0</v>
      </c>
      <c r="IT3" s="11">
        <v>600305.0</v>
      </c>
      <c r="IU3" s="11">
        <v>1099894.0</v>
      </c>
      <c r="IV3" s="11">
        <v>515249.0</v>
      </c>
      <c r="IW3" s="11">
        <v>887018.0</v>
      </c>
      <c r="IX3" s="11">
        <v>727542.0</v>
      </c>
      <c r="IY3" s="11">
        <v>961698.0</v>
      </c>
      <c r="IZ3" s="11">
        <v>861121.0</v>
      </c>
      <c r="JA3" s="11">
        <v>495456.0</v>
      </c>
      <c r="JB3" s="11">
        <v>1078795.0</v>
      </c>
      <c r="JC3" s="11">
        <v>697044.0</v>
      </c>
      <c r="JD3" s="11">
        <v>763021.0</v>
      </c>
      <c r="JE3" s="11">
        <v>634982.0</v>
      </c>
      <c r="JF3" s="11">
        <v>1296164.0</v>
      </c>
      <c r="JG3" s="11">
        <v>1111767.0</v>
      </c>
      <c r="JH3" s="11">
        <v>982435.0</v>
      </c>
      <c r="JI3" s="11">
        <v>893667.0</v>
      </c>
      <c r="JJ3" s="11">
        <v>1063060.0</v>
      </c>
      <c r="JK3" s="11">
        <v>517052.0</v>
      </c>
      <c r="JL3" s="11">
        <v>934714.0</v>
      </c>
      <c r="JM3" s="11">
        <v>759296.0</v>
      </c>
      <c r="JN3" s="11">
        <v>976595.0</v>
      </c>
      <c r="JO3" s="11">
        <v>1028604.0</v>
      </c>
      <c r="JP3" s="11">
        <v>731496.0</v>
      </c>
      <c r="JQ3" s="11">
        <v>624958.0</v>
      </c>
      <c r="JR3" s="11">
        <v>500707.0</v>
      </c>
      <c r="JS3" s="11">
        <v>793868.0</v>
      </c>
      <c r="JT3" s="11">
        <v>981355.0</v>
      </c>
      <c r="JU3" s="11">
        <v>818468.0</v>
      </c>
      <c r="JV3" s="11">
        <v>899257.0</v>
      </c>
      <c r="JW3" s="11">
        <v>803084.0</v>
      </c>
      <c r="JX3" s="11">
        <v>819873.0</v>
      </c>
      <c r="JY3" s="11">
        <v>702649.0</v>
      </c>
      <c r="JZ3" s="11">
        <v>471459.0</v>
      </c>
      <c r="KA3" s="11">
        <v>1022385.0</v>
      </c>
      <c r="KB3" s="11">
        <v>678253.0</v>
      </c>
      <c r="KC3" s="11">
        <v>678536.0</v>
      </c>
      <c r="KD3" s="11">
        <v>1012595.0</v>
      </c>
      <c r="KE3" s="11">
        <v>584626.0</v>
      </c>
      <c r="KF3" s="11">
        <v>595604.0</v>
      </c>
      <c r="KG3" s="11">
        <v>977326.0</v>
      </c>
      <c r="KH3" s="11">
        <v>912706.0</v>
      </c>
      <c r="KI3" s="11">
        <v>420175.0</v>
      </c>
      <c r="KJ3" s="11">
        <v>381086.0</v>
      </c>
      <c r="KK3" s="11">
        <v>1204587.0</v>
      </c>
      <c r="KL3" s="11">
        <v>476608.0</v>
      </c>
      <c r="KM3" s="11">
        <v>777259.0</v>
      </c>
      <c r="KN3" s="11">
        <v>552962.0</v>
      </c>
      <c r="KO3" s="11">
        <v>716693.0</v>
      </c>
      <c r="KP3" s="11">
        <v>539129.0</v>
      </c>
      <c r="KQ3" s="11">
        <v>906956.0</v>
      </c>
      <c r="KR3" s="11">
        <v>544806.0</v>
      </c>
      <c r="KS3" s="11">
        <v>793696.0</v>
      </c>
      <c r="KT3" s="11">
        <v>710378.0</v>
      </c>
      <c r="KU3" s="11">
        <v>787714.0</v>
      </c>
      <c r="KV3" s="11">
        <v>486986.0</v>
      </c>
      <c r="KW3" s="11">
        <v>858467.0</v>
      </c>
      <c r="KX3" s="11">
        <v>751591.0</v>
      </c>
      <c r="KY3" s="11">
        <v>739974.0</v>
      </c>
      <c r="KZ3" s="11">
        <v>858326.0</v>
      </c>
      <c r="LA3" s="11">
        <v>843412.0</v>
      </c>
      <c r="LB3" s="11">
        <v>613735.0</v>
      </c>
      <c r="LC3" s="11">
        <v>602554.0</v>
      </c>
      <c r="LD3" s="11">
        <v>599458.0</v>
      </c>
      <c r="LE3" s="11">
        <v>475688.0</v>
      </c>
      <c r="LF3" s="11">
        <v>638871.0</v>
      </c>
      <c r="LG3" s="11">
        <v>807768.0</v>
      </c>
      <c r="LH3" s="11">
        <v>582628.0</v>
      </c>
      <c r="LI3" s="11">
        <v>701703.0</v>
      </c>
      <c r="LJ3" s="11">
        <v>604803.0</v>
      </c>
      <c r="LK3" s="11">
        <v>1105944.0</v>
      </c>
      <c r="LL3" s="11">
        <v>760378.0</v>
      </c>
      <c r="LM3" s="11">
        <v>556463.0</v>
      </c>
      <c r="LN3" s="11">
        <v>311367.0</v>
      </c>
      <c r="LO3" s="11">
        <v>960504.0</v>
      </c>
      <c r="LP3" s="11">
        <v>865204.0</v>
      </c>
      <c r="LQ3" s="11">
        <v>916658.0</v>
      </c>
      <c r="LR3" s="11">
        <v>749553.0</v>
      </c>
      <c r="LS3" s="11">
        <v>611157.0</v>
      </c>
      <c r="LT3" s="11">
        <v>673046.0</v>
      </c>
      <c r="LU3" s="11">
        <v>561004.0</v>
      </c>
      <c r="LV3" s="11">
        <v>713969.0</v>
      </c>
      <c r="LW3" s="11">
        <v>1117186.0</v>
      </c>
      <c r="LX3" s="11">
        <v>938265.0</v>
      </c>
      <c r="LY3" s="11">
        <v>653524.0</v>
      </c>
      <c r="LZ3" s="11">
        <v>871760.0</v>
      </c>
      <c r="MA3" s="11">
        <v>1042202.0</v>
      </c>
      <c r="MB3" s="11">
        <v>536219.0</v>
      </c>
      <c r="MC3" s="11">
        <v>930284.0</v>
      </c>
      <c r="MD3" s="11">
        <v>745520.0</v>
      </c>
      <c r="ME3" s="11">
        <v>614427.0</v>
      </c>
      <c r="MF3" s="11">
        <v>721669.0</v>
      </c>
      <c r="MG3" s="11">
        <v>623632.0</v>
      </c>
      <c r="MH3" s="11">
        <v>705914.0</v>
      </c>
      <c r="MI3" s="11">
        <v>910694.0</v>
      </c>
      <c r="MJ3" s="11">
        <v>1183522.0</v>
      </c>
      <c r="MK3" s="11">
        <v>1031788.0</v>
      </c>
      <c r="ML3" s="11">
        <v>657239.0</v>
      </c>
      <c r="MM3" s="11">
        <v>787094.0</v>
      </c>
      <c r="MN3" s="11">
        <v>811088.0</v>
      </c>
      <c r="MO3" s="11">
        <v>679471.0</v>
      </c>
      <c r="MP3" s="11">
        <v>893503.0</v>
      </c>
      <c r="MQ3" s="11">
        <v>501374.0</v>
      </c>
      <c r="MR3" s="11">
        <v>765508.0</v>
      </c>
      <c r="MS3" s="11">
        <v>671101.0</v>
      </c>
      <c r="MT3" s="11">
        <v>701777.0</v>
      </c>
      <c r="MU3" s="11">
        <v>1050883.0</v>
      </c>
      <c r="MV3" s="11">
        <v>592326.0</v>
      </c>
      <c r="MW3" s="11">
        <v>691748.0</v>
      </c>
      <c r="MX3" s="11">
        <v>371355.0</v>
      </c>
      <c r="MY3" s="11">
        <v>788154.0</v>
      </c>
      <c r="MZ3" s="11">
        <v>985640.0</v>
      </c>
      <c r="NA3" s="11">
        <v>993258.0</v>
      </c>
      <c r="NB3" s="12">
        <v>394056.0</v>
      </c>
    </row>
    <row r="4">
      <c r="A4" s="8">
        <v>2.0</v>
      </c>
      <c r="B4" s="9" t="s">
        <v>368</v>
      </c>
      <c r="C4" s="10">
        <v>29524.0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45557.0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46101.0</v>
      </c>
      <c r="AA4" s="11">
        <v>44970.0</v>
      </c>
      <c r="AB4" s="11">
        <v>9965.0</v>
      </c>
      <c r="AC4" s="11">
        <v>0.0</v>
      </c>
      <c r="AD4" s="11">
        <v>0.0</v>
      </c>
      <c r="AE4" s="11">
        <v>0.0</v>
      </c>
      <c r="AF4" s="11">
        <v>0.0</v>
      </c>
      <c r="AG4" s="11">
        <v>44996.0</v>
      </c>
      <c r="AH4" s="11">
        <v>0.0</v>
      </c>
      <c r="AI4" s="11">
        <v>0.0</v>
      </c>
      <c r="AJ4" s="11">
        <v>0.0</v>
      </c>
      <c r="AK4" s="11">
        <v>46792.0</v>
      </c>
      <c r="AL4" s="11">
        <v>46048.0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v>0.0</v>
      </c>
      <c r="AS4" s="11">
        <v>80742.0</v>
      </c>
      <c r="AT4" s="11">
        <v>0.0</v>
      </c>
      <c r="AU4" s="11">
        <v>88923.0</v>
      </c>
      <c r="AV4" s="11">
        <v>0.0</v>
      </c>
      <c r="AW4" s="11">
        <v>0.0</v>
      </c>
      <c r="AX4" s="11">
        <v>0.0</v>
      </c>
      <c r="AY4" s="11">
        <v>0.0</v>
      </c>
      <c r="AZ4" s="11">
        <v>100245.0</v>
      </c>
      <c r="BA4" s="11">
        <v>22377.0</v>
      </c>
      <c r="BB4" s="11">
        <v>74999.0</v>
      </c>
      <c r="BC4" s="11">
        <v>36031.0</v>
      </c>
      <c r="BD4" s="11">
        <v>0.0</v>
      </c>
      <c r="BE4" s="11">
        <v>0.0</v>
      </c>
      <c r="BF4" s="11">
        <v>7695.0</v>
      </c>
      <c r="BG4" s="11">
        <v>92276.0</v>
      </c>
      <c r="BH4" s="11">
        <v>98463.0</v>
      </c>
      <c r="BI4" s="11">
        <v>0.0</v>
      </c>
      <c r="BJ4" s="11">
        <v>0.0</v>
      </c>
      <c r="BK4" s="11">
        <v>0.0</v>
      </c>
      <c r="BL4" s="11">
        <v>0.0</v>
      </c>
      <c r="BM4" s="11">
        <v>0.0</v>
      </c>
      <c r="BN4" s="11">
        <v>0.0</v>
      </c>
      <c r="BO4" s="11">
        <v>0.0</v>
      </c>
      <c r="BP4" s="11">
        <v>0.0</v>
      </c>
      <c r="BQ4" s="11">
        <v>35775.0</v>
      </c>
      <c r="BR4" s="11">
        <v>0.0</v>
      </c>
      <c r="BS4" s="11">
        <v>0.0</v>
      </c>
      <c r="BT4" s="11">
        <v>0.0</v>
      </c>
      <c r="BU4" s="11">
        <v>0.0</v>
      </c>
      <c r="BV4" s="11">
        <v>0.0</v>
      </c>
      <c r="BW4" s="11">
        <v>46866.0</v>
      </c>
      <c r="BX4" s="11">
        <v>0.0</v>
      </c>
      <c r="BY4" s="11">
        <v>50723.0</v>
      </c>
      <c r="BZ4" s="11">
        <v>0.0</v>
      </c>
      <c r="CA4" s="11">
        <v>0.0</v>
      </c>
      <c r="CB4" s="11">
        <v>0.0</v>
      </c>
      <c r="CC4" s="11">
        <v>0.0</v>
      </c>
      <c r="CD4" s="11">
        <v>50154.0</v>
      </c>
      <c r="CE4" s="11">
        <v>0.0</v>
      </c>
      <c r="CF4" s="11">
        <v>0.0</v>
      </c>
      <c r="CG4" s="11">
        <v>0.0</v>
      </c>
      <c r="CH4" s="11">
        <v>0.0</v>
      </c>
      <c r="CI4" s="11">
        <v>7022.0</v>
      </c>
      <c r="CJ4" s="11">
        <v>0.0</v>
      </c>
      <c r="CK4" s="11">
        <v>0.0</v>
      </c>
      <c r="CL4" s="11">
        <v>243324.0</v>
      </c>
      <c r="CM4" s="11">
        <v>592981.0</v>
      </c>
      <c r="CN4" s="11">
        <v>807419.0</v>
      </c>
      <c r="CO4" s="11">
        <v>196728.0</v>
      </c>
      <c r="CP4" s="11">
        <v>438310.0</v>
      </c>
      <c r="CQ4" s="11">
        <v>383331.0</v>
      </c>
      <c r="CR4" s="11">
        <v>351421.0</v>
      </c>
      <c r="CS4" s="11">
        <v>294997.0</v>
      </c>
      <c r="CT4" s="11">
        <v>319482.0</v>
      </c>
      <c r="CU4" s="11">
        <v>232555.0</v>
      </c>
      <c r="CV4" s="11">
        <v>331075.0</v>
      </c>
      <c r="CW4" s="11">
        <v>709166.0</v>
      </c>
      <c r="CX4" s="11">
        <v>288653.0</v>
      </c>
      <c r="CY4" s="11">
        <v>487913.0</v>
      </c>
      <c r="CZ4" s="11">
        <v>504059.0</v>
      </c>
      <c r="DA4" s="11">
        <v>438158.0</v>
      </c>
      <c r="DB4" s="11">
        <v>335792.0</v>
      </c>
      <c r="DC4" s="11">
        <v>350325.0</v>
      </c>
      <c r="DD4" s="11">
        <v>441666.0</v>
      </c>
      <c r="DE4" s="11">
        <v>419290.0</v>
      </c>
      <c r="DF4" s="11">
        <v>348856.0</v>
      </c>
      <c r="DG4" s="11">
        <v>243411.0</v>
      </c>
      <c r="DH4" s="11">
        <v>618788.0</v>
      </c>
      <c r="DI4" s="11">
        <v>481558.0</v>
      </c>
      <c r="DJ4" s="11">
        <v>278355.0</v>
      </c>
      <c r="DK4" s="11">
        <v>517592.0</v>
      </c>
      <c r="DL4" s="11">
        <v>257700.0</v>
      </c>
      <c r="DM4" s="11">
        <v>216676.0</v>
      </c>
      <c r="DN4" s="11">
        <v>422876.0</v>
      </c>
      <c r="DO4" s="11">
        <v>459971.0</v>
      </c>
      <c r="DP4" s="11">
        <v>524725.0</v>
      </c>
      <c r="DQ4" s="11">
        <v>512066.0</v>
      </c>
      <c r="DR4" s="11">
        <v>470604.0</v>
      </c>
      <c r="DS4" s="11">
        <v>682640.0</v>
      </c>
      <c r="DT4" s="11">
        <v>287145.0</v>
      </c>
      <c r="DU4" s="11">
        <v>429036.0</v>
      </c>
      <c r="DV4" s="11">
        <v>333958.0</v>
      </c>
      <c r="DW4" s="11">
        <v>267147.0</v>
      </c>
      <c r="DX4" s="11">
        <v>114190.0</v>
      </c>
      <c r="DY4" s="11">
        <v>324463.0</v>
      </c>
      <c r="DZ4" s="11">
        <v>462537.0</v>
      </c>
      <c r="EA4" s="11">
        <v>453557.0</v>
      </c>
      <c r="EB4" s="11">
        <v>364269.0</v>
      </c>
      <c r="EC4" s="11">
        <v>279569.0</v>
      </c>
      <c r="ED4" s="11">
        <v>311649.0</v>
      </c>
      <c r="EE4" s="11">
        <v>334008.0</v>
      </c>
      <c r="EF4" s="11">
        <v>541360.0</v>
      </c>
      <c r="EG4" s="11">
        <v>187004.0</v>
      </c>
      <c r="EH4" s="11">
        <v>418404.0</v>
      </c>
      <c r="EI4" s="11">
        <v>349648.0</v>
      </c>
      <c r="EJ4" s="11">
        <v>344123.0</v>
      </c>
      <c r="EK4" s="11">
        <v>217495.0</v>
      </c>
      <c r="EL4" s="11">
        <v>374477.0</v>
      </c>
      <c r="EM4" s="11">
        <v>231277.0</v>
      </c>
      <c r="EN4" s="11">
        <v>265426.0</v>
      </c>
      <c r="EO4" s="11">
        <v>323669.0</v>
      </c>
      <c r="EP4" s="11">
        <v>368545.0</v>
      </c>
      <c r="EQ4" s="11">
        <v>339205.0</v>
      </c>
      <c r="ER4" s="11">
        <v>61879.0</v>
      </c>
      <c r="ES4" s="11">
        <v>373069.0</v>
      </c>
      <c r="ET4" s="11">
        <v>418629.0</v>
      </c>
      <c r="EU4" s="11">
        <v>238737.0</v>
      </c>
      <c r="EV4" s="11">
        <v>367964.0</v>
      </c>
      <c r="EW4" s="11">
        <v>253353.0</v>
      </c>
      <c r="EX4" s="11">
        <v>493941.0</v>
      </c>
      <c r="EY4" s="11">
        <v>227662.0</v>
      </c>
      <c r="EZ4" s="11">
        <v>289622.0</v>
      </c>
      <c r="FA4" s="11">
        <v>256796.0</v>
      </c>
      <c r="FB4" s="11">
        <v>556156.0</v>
      </c>
      <c r="FC4" s="11">
        <v>203819.0</v>
      </c>
      <c r="FD4" s="11">
        <v>260608.0</v>
      </c>
      <c r="FE4" s="11">
        <v>412378.0</v>
      </c>
      <c r="FF4" s="11">
        <v>485525.0</v>
      </c>
      <c r="FG4" s="11">
        <v>398144.0</v>
      </c>
      <c r="FH4" s="11">
        <v>360254.0</v>
      </c>
      <c r="FI4" s="11">
        <v>221140.0</v>
      </c>
      <c r="FJ4" s="11">
        <v>298050.0</v>
      </c>
      <c r="FK4" s="11">
        <v>450397.0</v>
      </c>
      <c r="FL4" s="11">
        <v>290848.0</v>
      </c>
      <c r="FM4" s="11">
        <v>605803.0</v>
      </c>
      <c r="FN4" s="11">
        <v>256649.0</v>
      </c>
      <c r="FO4" s="11">
        <v>498410.0</v>
      </c>
      <c r="FP4" s="11">
        <v>228027.0</v>
      </c>
      <c r="FQ4" s="11">
        <v>392087.0</v>
      </c>
      <c r="FR4" s="11">
        <v>274376.0</v>
      </c>
      <c r="FS4" s="11">
        <v>440593.0</v>
      </c>
      <c r="FT4" s="11">
        <v>363218.0</v>
      </c>
      <c r="FU4" s="11">
        <v>345519.0</v>
      </c>
      <c r="FV4" s="11">
        <v>379478.0</v>
      </c>
      <c r="FW4" s="11">
        <v>326729.0</v>
      </c>
      <c r="FX4" s="11">
        <v>138419.0</v>
      </c>
      <c r="FY4" s="11">
        <v>248028.0</v>
      </c>
      <c r="FZ4" s="11">
        <v>241523.0</v>
      </c>
      <c r="GA4" s="11">
        <v>394050.0</v>
      </c>
      <c r="GB4" s="11">
        <v>437579.0</v>
      </c>
      <c r="GC4" s="11">
        <v>265271.0</v>
      </c>
      <c r="GD4" s="11">
        <v>275409.0</v>
      </c>
      <c r="GE4" s="11">
        <v>328804.0</v>
      </c>
      <c r="GF4" s="11">
        <v>309394.0</v>
      </c>
      <c r="GG4" s="11">
        <v>547281.0</v>
      </c>
      <c r="GH4" s="11">
        <v>597527.0</v>
      </c>
      <c r="GI4" s="11">
        <v>649643.0</v>
      </c>
      <c r="GJ4" s="11">
        <v>422011.0</v>
      </c>
      <c r="GK4" s="11">
        <v>490647.0</v>
      </c>
      <c r="GL4" s="11">
        <v>252948.0</v>
      </c>
      <c r="GM4" s="11">
        <v>220617.0</v>
      </c>
      <c r="GN4" s="11">
        <v>316786.0</v>
      </c>
      <c r="GO4" s="11">
        <v>275371.0</v>
      </c>
      <c r="GP4" s="11">
        <v>599892.0</v>
      </c>
      <c r="GQ4" s="11">
        <v>393810.0</v>
      </c>
      <c r="GR4" s="11">
        <v>253580.0</v>
      </c>
      <c r="GS4" s="11">
        <v>326518.0</v>
      </c>
      <c r="GT4" s="11">
        <v>281909.0</v>
      </c>
      <c r="GU4" s="11">
        <v>375009.0</v>
      </c>
      <c r="GV4" s="11">
        <v>516828.0</v>
      </c>
      <c r="GW4" s="11">
        <v>367182.0</v>
      </c>
      <c r="GX4" s="11">
        <v>830550.0</v>
      </c>
      <c r="GY4" s="11">
        <v>319378.0</v>
      </c>
      <c r="GZ4" s="11">
        <v>304190.0</v>
      </c>
      <c r="HA4" s="11">
        <v>497022.0</v>
      </c>
      <c r="HB4" s="11">
        <v>169600.0</v>
      </c>
      <c r="HC4" s="11">
        <v>576563.0</v>
      </c>
      <c r="HD4" s="11">
        <v>479180.0</v>
      </c>
      <c r="HE4" s="11">
        <v>187792.0</v>
      </c>
      <c r="HF4" s="11">
        <v>593387.0</v>
      </c>
      <c r="HG4" s="11">
        <v>274308.0</v>
      </c>
      <c r="HH4" s="11">
        <v>356877.0</v>
      </c>
      <c r="HI4" s="11">
        <v>452153.0</v>
      </c>
      <c r="HJ4" s="11">
        <v>209360.0</v>
      </c>
      <c r="HK4" s="11">
        <v>203516.0</v>
      </c>
      <c r="HL4" s="11">
        <v>402179.0</v>
      </c>
      <c r="HM4" s="11">
        <v>535404.0</v>
      </c>
      <c r="HN4" s="11">
        <v>409064.0</v>
      </c>
      <c r="HO4" s="11">
        <v>365576.0</v>
      </c>
      <c r="HP4" s="11">
        <v>267575.0</v>
      </c>
      <c r="HQ4" s="11">
        <v>232897.0</v>
      </c>
      <c r="HR4" s="11">
        <v>504819.0</v>
      </c>
      <c r="HS4" s="11">
        <v>476103.0</v>
      </c>
      <c r="HT4" s="11">
        <v>463856.0</v>
      </c>
      <c r="HU4" s="11">
        <v>267763.0</v>
      </c>
      <c r="HV4" s="11">
        <v>395956.0</v>
      </c>
      <c r="HW4" s="11">
        <v>270631.0</v>
      </c>
      <c r="HX4" s="11">
        <v>350562.0</v>
      </c>
      <c r="HY4" s="11">
        <v>524282.0</v>
      </c>
      <c r="HZ4" s="11">
        <v>344587.0</v>
      </c>
      <c r="IA4" s="11">
        <v>295112.0</v>
      </c>
      <c r="IB4" s="11">
        <v>522333.0</v>
      </c>
      <c r="IC4" s="11">
        <v>539349.0</v>
      </c>
      <c r="ID4" s="11">
        <v>445876.0</v>
      </c>
      <c r="IE4" s="11">
        <v>288231.0</v>
      </c>
      <c r="IF4" s="11">
        <v>329502.0</v>
      </c>
      <c r="IG4" s="11">
        <v>453006.0</v>
      </c>
      <c r="IH4" s="11">
        <v>744451.0</v>
      </c>
      <c r="II4" s="11">
        <v>288177.0</v>
      </c>
      <c r="IJ4" s="11">
        <v>579782.0</v>
      </c>
      <c r="IK4" s="11">
        <v>408327.0</v>
      </c>
      <c r="IL4" s="11">
        <v>211368.0</v>
      </c>
      <c r="IM4" s="11">
        <v>304535.0</v>
      </c>
      <c r="IN4" s="11">
        <v>641084.0</v>
      </c>
      <c r="IO4" s="11">
        <v>210231.0</v>
      </c>
      <c r="IP4" s="11">
        <v>481916.0</v>
      </c>
      <c r="IQ4" s="11">
        <v>486184.0</v>
      </c>
      <c r="IR4" s="11">
        <v>398939.0</v>
      </c>
      <c r="IS4" s="11">
        <v>592378.0</v>
      </c>
      <c r="IT4" s="11">
        <v>339529.0</v>
      </c>
      <c r="IU4" s="11">
        <v>642183.0</v>
      </c>
      <c r="IV4" s="11">
        <v>232529.0</v>
      </c>
      <c r="IW4" s="11">
        <v>454508.0</v>
      </c>
      <c r="IX4" s="11">
        <v>252448.0</v>
      </c>
      <c r="IY4" s="11">
        <v>461030.0</v>
      </c>
      <c r="IZ4" s="11">
        <v>385665.0</v>
      </c>
      <c r="JA4" s="11">
        <v>108117.0</v>
      </c>
      <c r="JB4" s="11">
        <v>352602.0</v>
      </c>
      <c r="JC4" s="11">
        <v>476808.0</v>
      </c>
      <c r="JD4" s="11">
        <v>377821.0</v>
      </c>
      <c r="JE4" s="11">
        <v>408714.0</v>
      </c>
      <c r="JF4" s="11">
        <v>594087.0</v>
      </c>
      <c r="JG4" s="11">
        <v>579149.0</v>
      </c>
      <c r="JH4" s="11">
        <v>552349.0</v>
      </c>
      <c r="JI4" s="11">
        <v>532643.0</v>
      </c>
      <c r="JJ4" s="11">
        <v>572096.0</v>
      </c>
      <c r="JK4" s="11">
        <v>345517.0</v>
      </c>
      <c r="JL4" s="11">
        <v>449440.0</v>
      </c>
      <c r="JM4" s="11">
        <v>351406.0</v>
      </c>
      <c r="JN4" s="11">
        <v>515699.0</v>
      </c>
      <c r="JO4" s="11">
        <v>647105.0</v>
      </c>
      <c r="JP4" s="11">
        <v>383616.0</v>
      </c>
      <c r="JQ4" s="11">
        <v>249769.0</v>
      </c>
      <c r="JR4" s="11">
        <v>266942.0</v>
      </c>
      <c r="JS4" s="11">
        <v>351112.0</v>
      </c>
      <c r="JT4" s="11">
        <v>543444.0</v>
      </c>
      <c r="JU4" s="11">
        <v>436584.0</v>
      </c>
      <c r="JV4" s="11">
        <v>444880.0</v>
      </c>
      <c r="JW4" s="11">
        <v>523389.0</v>
      </c>
      <c r="JX4" s="11">
        <v>416784.0</v>
      </c>
      <c r="JY4" s="11">
        <v>301830.0</v>
      </c>
      <c r="JZ4" s="11">
        <v>199414.0</v>
      </c>
      <c r="KA4" s="11">
        <v>485481.0</v>
      </c>
      <c r="KB4" s="11">
        <v>422150.0</v>
      </c>
      <c r="KC4" s="11">
        <v>346005.0</v>
      </c>
      <c r="KD4" s="11">
        <v>511456.0</v>
      </c>
      <c r="KE4" s="11">
        <v>237224.0</v>
      </c>
      <c r="KF4" s="11">
        <v>391081.0</v>
      </c>
      <c r="KG4" s="11">
        <v>402272.0</v>
      </c>
      <c r="KH4" s="11">
        <v>401932.0</v>
      </c>
      <c r="KI4" s="11">
        <v>185648.0</v>
      </c>
      <c r="KJ4" s="11">
        <v>125826.0</v>
      </c>
      <c r="KK4" s="11">
        <v>687469.0</v>
      </c>
      <c r="KL4" s="11">
        <v>339463.0</v>
      </c>
      <c r="KM4" s="11">
        <v>362911.0</v>
      </c>
      <c r="KN4" s="11">
        <v>315147.0</v>
      </c>
      <c r="KO4" s="11">
        <v>419942.0</v>
      </c>
      <c r="KP4" s="11">
        <v>271309.0</v>
      </c>
      <c r="KQ4" s="11">
        <v>294317.0</v>
      </c>
      <c r="KR4" s="11">
        <v>212367.0</v>
      </c>
      <c r="KS4" s="11">
        <v>472752.0</v>
      </c>
      <c r="KT4" s="11">
        <v>289758.0</v>
      </c>
      <c r="KU4" s="11">
        <v>334385.0</v>
      </c>
      <c r="KV4" s="11">
        <v>330675.0</v>
      </c>
      <c r="KW4" s="11">
        <v>311029.0</v>
      </c>
      <c r="KX4" s="11">
        <v>493612.0</v>
      </c>
      <c r="KY4" s="11">
        <v>331791.0</v>
      </c>
      <c r="KZ4" s="11">
        <v>641586.0</v>
      </c>
      <c r="LA4" s="11">
        <v>481051.0</v>
      </c>
      <c r="LB4" s="11">
        <v>284121.0</v>
      </c>
      <c r="LC4" s="11">
        <v>190040.0</v>
      </c>
      <c r="LD4" s="11">
        <v>313711.0</v>
      </c>
      <c r="LE4" s="11">
        <v>166800.0</v>
      </c>
      <c r="LF4" s="11">
        <v>375353.0</v>
      </c>
      <c r="LG4" s="11">
        <v>380571.0</v>
      </c>
      <c r="LH4" s="11">
        <v>326499.0</v>
      </c>
      <c r="LI4" s="11">
        <v>383989.0</v>
      </c>
      <c r="LJ4" s="11">
        <v>208772.0</v>
      </c>
      <c r="LK4" s="11">
        <v>420274.0</v>
      </c>
      <c r="LL4" s="11">
        <v>214631.0</v>
      </c>
      <c r="LM4" s="11">
        <v>276677.0</v>
      </c>
      <c r="LN4" s="11">
        <v>101277.0</v>
      </c>
      <c r="LO4" s="11">
        <v>529632.0</v>
      </c>
      <c r="LP4" s="11">
        <v>585308.0</v>
      </c>
      <c r="LQ4" s="11">
        <v>421067.0</v>
      </c>
      <c r="LR4" s="11">
        <v>454391.0</v>
      </c>
      <c r="LS4" s="11">
        <v>254846.0</v>
      </c>
      <c r="LT4" s="11">
        <v>342680.0</v>
      </c>
      <c r="LU4" s="11">
        <v>228054.0</v>
      </c>
      <c r="LV4" s="11">
        <v>378949.0</v>
      </c>
      <c r="LW4" s="11">
        <v>471193.0</v>
      </c>
      <c r="LX4" s="11">
        <v>504381.0</v>
      </c>
      <c r="LY4" s="11">
        <v>473885.0</v>
      </c>
      <c r="LZ4" s="11">
        <v>580719.0</v>
      </c>
      <c r="MA4" s="11">
        <v>533446.0</v>
      </c>
      <c r="MB4" s="11">
        <v>211088.0</v>
      </c>
      <c r="MC4" s="11">
        <v>276032.0</v>
      </c>
      <c r="MD4" s="11">
        <v>229683.0</v>
      </c>
      <c r="ME4" s="11">
        <v>386380.0</v>
      </c>
      <c r="MF4" s="11">
        <v>413517.0</v>
      </c>
      <c r="MG4" s="11">
        <v>260340.0</v>
      </c>
      <c r="MH4" s="11">
        <v>425090.0</v>
      </c>
      <c r="MI4" s="11">
        <v>345556.0</v>
      </c>
      <c r="MJ4" s="11">
        <v>632815.0</v>
      </c>
      <c r="MK4" s="11">
        <v>531033.0</v>
      </c>
      <c r="ML4" s="11">
        <v>335989.0</v>
      </c>
      <c r="MM4" s="11">
        <v>458576.0</v>
      </c>
      <c r="MN4" s="11">
        <v>479056.0</v>
      </c>
      <c r="MO4" s="11">
        <v>166403.0</v>
      </c>
      <c r="MP4" s="11">
        <v>653171.0</v>
      </c>
      <c r="MQ4" s="11">
        <v>284613.0</v>
      </c>
      <c r="MR4" s="11">
        <v>360919.0</v>
      </c>
      <c r="MS4" s="11">
        <v>394931.0</v>
      </c>
      <c r="MT4" s="11">
        <v>436402.0</v>
      </c>
      <c r="MU4" s="11">
        <v>633224.0</v>
      </c>
      <c r="MV4" s="11">
        <v>162186.0</v>
      </c>
      <c r="MW4" s="11">
        <v>274133.0</v>
      </c>
      <c r="MX4" s="11">
        <v>182707.0</v>
      </c>
      <c r="MY4" s="11">
        <v>468541.0</v>
      </c>
      <c r="MZ4" s="11">
        <v>366603.0</v>
      </c>
      <c r="NA4" s="11">
        <v>502914.0</v>
      </c>
      <c r="NB4" s="12">
        <v>118627.0</v>
      </c>
    </row>
    <row r="5">
      <c r="A5" s="8">
        <v>2.0</v>
      </c>
      <c r="B5" s="9" t="s">
        <v>369</v>
      </c>
      <c r="C5" s="10">
        <v>0.0</v>
      </c>
      <c r="D5" s="11">
        <v>0.0</v>
      </c>
      <c r="E5" s="11">
        <v>0.0</v>
      </c>
      <c r="F5" s="11">
        <v>0.0</v>
      </c>
      <c r="G5" s="11">
        <v>0.0</v>
      </c>
      <c r="H5" s="11">
        <v>60119.0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7119.0</v>
      </c>
      <c r="O5" s="11">
        <v>46308.0</v>
      </c>
      <c r="P5" s="11">
        <v>0.0</v>
      </c>
      <c r="Q5" s="11">
        <v>0.0</v>
      </c>
      <c r="R5" s="11">
        <v>44970.0</v>
      </c>
      <c r="S5" s="11">
        <v>45737.0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3601.0</v>
      </c>
      <c r="Z5" s="11">
        <v>0.0</v>
      </c>
      <c r="AA5" s="11">
        <v>49323.0</v>
      </c>
      <c r="AB5" s="11">
        <v>46792.0</v>
      </c>
      <c r="AC5" s="11">
        <v>74986.0</v>
      </c>
      <c r="AD5" s="11">
        <v>0.0</v>
      </c>
      <c r="AE5" s="11">
        <v>46048.0</v>
      </c>
      <c r="AF5" s="11">
        <v>44998.0</v>
      </c>
      <c r="AG5" s="11">
        <v>0.0</v>
      </c>
      <c r="AH5" s="11">
        <v>75120.0</v>
      </c>
      <c r="AI5" s="11">
        <v>51202.0</v>
      </c>
      <c r="AJ5" s="11">
        <v>0.0</v>
      </c>
      <c r="AK5" s="11">
        <v>0.0</v>
      </c>
      <c r="AL5" s="11">
        <v>110186.0</v>
      </c>
      <c r="AM5" s="11">
        <v>92798.0</v>
      </c>
      <c r="AN5" s="11">
        <v>0.0</v>
      </c>
      <c r="AO5" s="11">
        <v>161057.0</v>
      </c>
      <c r="AP5" s="11">
        <v>0.0</v>
      </c>
      <c r="AQ5" s="11">
        <v>44401.0</v>
      </c>
      <c r="AR5" s="11">
        <v>66115.0</v>
      </c>
      <c r="AS5" s="11">
        <v>36031.0</v>
      </c>
      <c r="AT5" s="11">
        <v>134696.0</v>
      </c>
      <c r="AU5" s="11">
        <v>46719.0</v>
      </c>
      <c r="AV5" s="11">
        <v>0.0</v>
      </c>
      <c r="AW5" s="11">
        <v>0.0</v>
      </c>
      <c r="AX5" s="11">
        <v>0.0</v>
      </c>
      <c r="AY5" s="11">
        <v>46048.0</v>
      </c>
      <c r="AZ5" s="11">
        <v>46792.0</v>
      </c>
      <c r="BA5" s="11">
        <v>45557.0</v>
      </c>
      <c r="BB5" s="11">
        <v>48309.0</v>
      </c>
      <c r="BC5" s="11">
        <v>143457.0</v>
      </c>
      <c r="BD5" s="11">
        <v>0.0</v>
      </c>
      <c r="BE5" s="11">
        <v>44996.0</v>
      </c>
      <c r="BF5" s="11">
        <v>0.0</v>
      </c>
      <c r="BG5" s="11">
        <v>0.0</v>
      </c>
      <c r="BH5" s="11">
        <v>0.0</v>
      </c>
      <c r="BI5" s="11">
        <v>0.0</v>
      </c>
      <c r="BJ5" s="11">
        <v>0.0</v>
      </c>
      <c r="BK5" s="11">
        <v>0.0</v>
      </c>
      <c r="BL5" s="11">
        <v>0.0</v>
      </c>
      <c r="BM5" s="11">
        <v>0.0</v>
      </c>
      <c r="BN5" s="11">
        <v>0.0</v>
      </c>
      <c r="BO5" s="11">
        <v>44999.0</v>
      </c>
      <c r="BP5" s="11">
        <v>0.0</v>
      </c>
      <c r="BQ5" s="11">
        <v>0.0</v>
      </c>
      <c r="BR5" s="11">
        <v>0.0</v>
      </c>
      <c r="BS5" s="11">
        <v>0.0</v>
      </c>
      <c r="BT5" s="11">
        <v>0.0</v>
      </c>
      <c r="BU5" s="11">
        <v>0.0</v>
      </c>
      <c r="BV5" s="11">
        <v>0.0</v>
      </c>
      <c r="BW5" s="11">
        <v>0.0</v>
      </c>
      <c r="BX5" s="11">
        <v>6712.0</v>
      </c>
      <c r="BY5" s="11">
        <v>12083.0</v>
      </c>
      <c r="BZ5" s="11">
        <v>0.0</v>
      </c>
      <c r="CA5" s="11">
        <v>0.0</v>
      </c>
      <c r="CB5" s="11">
        <v>0.0</v>
      </c>
      <c r="CC5" s="11">
        <v>0.0</v>
      </c>
      <c r="CD5" s="11">
        <v>0.0</v>
      </c>
      <c r="CE5" s="11">
        <v>12887.0</v>
      </c>
      <c r="CF5" s="11">
        <v>0.0</v>
      </c>
      <c r="CG5" s="11">
        <v>0.0</v>
      </c>
      <c r="CH5" s="11">
        <v>46308.0</v>
      </c>
      <c r="CI5" s="11">
        <v>0.0</v>
      </c>
      <c r="CJ5" s="11">
        <v>0.0</v>
      </c>
      <c r="CK5" s="11">
        <v>180425.0</v>
      </c>
      <c r="CL5" s="11">
        <v>274621.0</v>
      </c>
      <c r="CM5" s="11">
        <v>468119.0</v>
      </c>
      <c r="CN5" s="11">
        <v>283225.0</v>
      </c>
      <c r="CO5" s="11">
        <v>480610.0</v>
      </c>
      <c r="CP5" s="11">
        <v>205183.0</v>
      </c>
      <c r="CQ5" s="11">
        <v>430041.0</v>
      </c>
      <c r="CR5" s="11">
        <v>624456.0</v>
      </c>
      <c r="CS5" s="11">
        <v>519402.0</v>
      </c>
      <c r="CT5" s="11">
        <v>506545.0</v>
      </c>
      <c r="CU5" s="11">
        <v>639610.0</v>
      </c>
      <c r="CV5" s="11">
        <v>454698.0</v>
      </c>
      <c r="CW5" s="11">
        <v>314549.0</v>
      </c>
      <c r="CX5" s="11">
        <v>351176.0</v>
      </c>
      <c r="CY5" s="11">
        <v>232219.0</v>
      </c>
      <c r="CZ5" s="11">
        <v>738106.0</v>
      </c>
      <c r="DA5" s="11">
        <v>292322.0</v>
      </c>
      <c r="DB5" s="11">
        <v>352100.0</v>
      </c>
      <c r="DC5" s="11">
        <v>487501.0</v>
      </c>
      <c r="DD5" s="11">
        <v>370920.0</v>
      </c>
      <c r="DE5" s="11">
        <v>296646.0</v>
      </c>
      <c r="DF5" s="11">
        <v>278998.0</v>
      </c>
      <c r="DG5" s="11">
        <v>592711.0</v>
      </c>
      <c r="DH5" s="11">
        <v>465136.0</v>
      </c>
      <c r="DI5" s="11">
        <v>628690.0</v>
      </c>
      <c r="DJ5" s="11">
        <v>560462.0</v>
      </c>
      <c r="DK5" s="11">
        <v>384222.0</v>
      </c>
      <c r="DL5" s="11">
        <v>336355.0</v>
      </c>
      <c r="DM5" s="11">
        <v>383017.0</v>
      </c>
      <c r="DN5" s="11">
        <v>203293.0</v>
      </c>
      <c r="DO5" s="11">
        <v>279663.0</v>
      </c>
      <c r="DP5" s="11">
        <v>271530.0</v>
      </c>
      <c r="DQ5" s="11">
        <v>245559.0</v>
      </c>
      <c r="DR5" s="11">
        <v>247753.0</v>
      </c>
      <c r="DS5" s="11">
        <v>471959.0</v>
      </c>
      <c r="DT5" s="11">
        <v>319416.0</v>
      </c>
      <c r="DU5" s="11">
        <v>402803.0</v>
      </c>
      <c r="DV5" s="11">
        <v>293487.0</v>
      </c>
      <c r="DW5" s="11">
        <v>94727.0</v>
      </c>
      <c r="DX5" s="11">
        <v>239761.0</v>
      </c>
      <c r="DY5" s="11">
        <v>227488.0</v>
      </c>
      <c r="DZ5" s="11">
        <v>326747.0</v>
      </c>
      <c r="EA5" s="11">
        <v>163924.0</v>
      </c>
      <c r="EB5" s="11">
        <v>199981.0</v>
      </c>
      <c r="EC5" s="11">
        <v>315053.0</v>
      </c>
      <c r="ED5" s="11">
        <v>672609.0</v>
      </c>
      <c r="EE5" s="11">
        <v>410863.0</v>
      </c>
      <c r="EF5" s="11">
        <v>212239.0</v>
      </c>
      <c r="EG5" s="11">
        <v>331663.0</v>
      </c>
      <c r="EH5" s="11">
        <v>540202.0</v>
      </c>
      <c r="EI5" s="11">
        <v>646522.0</v>
      </c>
      <c r="EJ5" s="11">
        <v>305395.0</v>
      </c>
      <c r="EK5" s="11">
        <v>291854.0</v>
      </c>
      <c r="EL5" s="11">
        <v>417722.0</v>
      </c>
      <c r="EM5" s="11">
        <v>310095.0</v>
      </c>
      <c r="EN5" s="11">
        <v>243398.0</v>
      </c>
      <c r="EO5" s="11">
        <v>261380.0</v>
      </c>
      <c r="EP5" s="11">
        <v>265989.0</v>
      </c>
      <c r="EQ5" s="11">
        <v>313059.0</v>
      </c>
      <c r="ER5" s="11">
        <v>152989.0</v>
      </c>
      <c r="ES5" s="11">
        <v>210826.0</v>
      </c>
      <c r="ET5" s="11">
        <v>377098.0</v>
      </c>
      <c r="EU5" s="11">
        <v>481858.0</v>
      </c>
      <c r="EV5" s="11">
        <v>234473.0</v>
      </c>
      <c r="EW5" s="11">
        <v>327159.0</v>
      </c>
      <c r="EX5" s="11">
        <v>297598.0</v>
      </c>
      <c r="EY5" s="11">
        <v>354399.0</v>
      </c>
      <c r="EZ5" s="11">
        <v>306020.0</v>
      </c>
      <c r="FA5" s="11">
        <v>409179.0</v>
      </c>
      <c r="FB5" s="11">
        <v>365373.0</v>
      </c>
      <c r="FC5" s="11">
        <v>62490.0</v>
      </c>
      <c r="FD5" s="11">
        <v>308302.0</v>
      </c>
      <c r="FE5" s="11">
        <v>282194.0</v>
      </c>
      <c r="FF5" s="11">
        <v>223619.0</v>
      </c>
      <c r="FG5" s="11">
        <v>425146.0</v>
      </c>
      <c r="FH5" s="11">
        <v>541752.0</v>
      </c>
      <c r="FI5" s="11">
        <v>320555.0</v>
      </c>
      <c r="FJ5" s="11">
        <v>322606.0</v>
      </c>
      <c r="FK5" s="11">
        <v>175362.0</v>
      </c>
      <c r="FL5" s="11">
        <v>253965.0</v>
      </c>
      <c r="FM5" s="11">
        <v>334898.0</v>
      </c>
      <c r="FN5" s="11">
        <v>355783.0</v>
      </c>
      <c r="FO5" s="11">
        <v>468349.0</v>
      </c>
      <c r="FP5" s="11">
        <v>398415.0</v>
      </c>
      <c r="FQ5" s="11">
        <v>316419.0</v>
      </c>
      <c r="FR5" s="11">
        <v>368859.0</v>
      </c>
      <c r="FS5" s="11">
        <v>316678.0</v>
      </c>
      <c r="FT5" s="11">
        <v>167643.0</v>
      </c>
      <c r="FU5" s="11">
        <v>463748.0</v>
      </c>
      <c r="FV5" s="11">
        <v>234745.0</v>
      </c>
      <c r="FW5" s="11">
        <v>435587.0</v>
      </c>
      <c r="FX5" s="11">
        <v>447210.0</v>
      </c>
      <c r="FY5" s="11">
        <v>328149.0</v>
      </c>
      <c r="FZ5" s="11">
        <v>339302.0</v>
      </c>
      <c r="GA5" s="11">
        <v>256520.0</v>
      </c>
      <c r="GB5" s="11">
        <v>221071.0</v>
      </c>
      <c r="GC5" s="11">
        <v>546657.0</v>
      </c>
      <c r="GD5" s="11">
        <v>413085.0</v>
      </c>
      <c r="GE5" s="11">
        <v>579839.0</v>
      </c>
      <c r="GF5" s="11">
        <v>361833.0</v>
      </c>
      <c r="GG5" s="11">
        <v>318673.0</v>
      </c>
      <c r="GH5" s="11">
        <v>414436.0</v>
      </c>
      <c r="GI5" s="11">
        <v>499659.0</v>
      </c>
      <c r="GJ5" s="11">
        <v>262284.0</v>
      </c>
      <c r="GK5" s="11">
        <v>372092.0</v>
      </c>
      <c r="GL5" s="11">
        <v>356761.0</v>
      </c>
      <c r="GM5" s="11">
        <v>403558.0</v>
      </c>
      <c r="GN5" s="11">
        <v>434784.0</v>
      </c>
      <c r="GO5" s="11">
        <v>332463.0</v>
      </c>
      <c r="GP5" s="11">
        <v>518418.0</v>
      </c>
      <c r="GQ5" s="11">
        <v>390339.0</v>
      </c>
      <c r="GR5" s="11">
        <v>296221.0</v>
      </c>
      <c r="GS5" s="11">
        <v>465143.0</v>
      </c>
      <c r="GT5" s="11">
        <v>609108.0</v>
      </c>
      <c r="GU5" s="11">
        <v>317555.0</v>
      </c>
      <c r="GV5" s="11">
        <v>284113.0</v>
      </c>
      <c r="GW5" s="11">
        <v>283564.0</v>
      </c>
      <c r="GX5" s="11">
        <v>619099.0</v>
      </c>
      <c r="GY5" s="11">
        <v>437186.0</v>
      </c>
      <c r="GZ5" s="11">
        <v>370643.0</v>
      </c>
      <c r="HA5" s="11">
        <v>606717.0</v>
      </c>
      <c r="HB5" s="11">
        <v>252772.0</v>
      </c>
      <c r="HC5" s="11">
        <v>217960.0</v>
      </c>
      <c r="HD5" s="11">
        <v>287627.0</v>
      </c>
      <c r="HE5" s="11">
        <v>415052.0</v>
      </c>
      <c r="HF5" s="11">
        <v>378643.0</v>
      </c>
      <c r="HG5" s="11">
        <v>435397.0</v>
      </c>
      <c r="HH5" s="11">
        <v>352046.0</v>
      </c>
      <c r="HI5" s="11">
        <v>579153.0</v>
      </c>
      <c r="HJ5" s="11">
        <v>548234.0</v>
      </c>
      <c r="HK5" s="11">
        <v>400181.0</v>
      </c>
      <c r="HL5" s="11">
        <v>351078.0</v>
      </c>
      <c r="HM5" s="11">
        <v>391195.0</v>
      </c>
      <c r="HN5" s="11">
        <v>518549.0</v>
      </c>
      <c r="HO5" s="11">
        <v>335516.0</v>
      </c>
      <c r="HP5" s="11">
        <v>413501.0</v>
      </c>
      <c r="HQ5" s="11">
        <v>228322.0</v>
      </c>
      <c r="HR5" s="11">
        <v>315503.0</v>
      </c>
      <c r="HS5" s="11">
        <v>306818.0</v>
      </c>
      <c r="HT5" s="11">
        <v>277673.0</v>
      </c>
      <c r="HU5" s="11">
        <v>391450.0</v>
      </c>
      <c r="HV5" s="11">
        <v>256644.0</v>
      </c>
      <c r="HW5" s="11">
        <v>208360.0</v>
      </c>
      <c r="HX5" s="11">
        <v>740314.0</v>
      </c>
      <c r="HY5" s="11">
        <v>263986.0</v>
      </c>
      <c r="HZ5" s="11">
        <v>480867.0</v>
      </c>
      <c r="IA5" s="11">
        <v>335873.0</v>
      </c>
      <c r="IB5" s="11">
        <v>467277.0</v>
      </c>
      <c r="IC5" s="11">
        <v>451796.0</v>
      </c>
      <c r="ID5" s="11">
        <v>198992.0</v>
      </c>
      <c r="IE5" s="11">
        <v>314766.0</v>
      </c>
      <c r="IF5" s="11">
        <v>696935.0</v>
      </c>
      <c r="IG5" s="11">
        <v>244925.0</v>
      </c>
      <c r="IH5" s="11">
        <v>536014.0</v>
      </c>
      <c r="II5" s="11">
        <v>694066.0</v>
      </c>
      <c r="IJ5" s="11">
        <v>426115.0</v>
      </c>
      <c r="IK5" s="11">
        <v>327637.0</v>
      </c>
      <c r="IL5" s="11">
        <v>479941.0</v>
      </c>
      <c r="IM5" s="11">
        <v>322828.0</v>
      </c>
      <c r="IN5" s="11">
        <v>477188.0</v>
      </c>
      <c r="IO5" s="11">
        <v>214348.0</v>
      </c>
      <c r="IP5" s="11">
        <v>364606.0</v>
      </c>
      <c r="IQ5" s="11">
        <v>664006.0</v>
      </c>
      <c r="IR5" s="11">
        <v>459702.0</v>
      </c>
      <c r="IS5" s="11">
        <v>514486.0</v>
      </c>
      <c r="IT5" s="11">
        <v>260776.0</v>
      </c>
      <c r="IU5" s="11">
        <v>457711.0</v>
      </c>
      <c r="IV5" s="11">
        <v>282720.0</v>
      </c>
      <c r="IW5" s="11">
        <v>432510.0</v>
      </c>
      <c r="IX5" s="11">
        <v>475094.0</v>
      </c>
      <c r="IY5" s="11">
        <v>500668.0</v>
      </c>
      <c r="IZ5" s="11">
        <v>475456.0</v>
      </c>
      <c r="JA5" s="11">
        <v>387339.0</v>
      </c>
      <c r="JB5" s="11">
        <v>726193.0</v>
      </c>
      <c r="JC5" s="11">
        <v>220236.0</v>
      </c>
      <c r="JD5" s="11">
        <v>385200.0</v>
      </c>
      <c r="JE5" s="11">
        <v>226268.0</v>
      </c>
      <c r="JF5" s="11">
        <v>702077.0</v>
      </c>
      <c r="JG5" s="11">
        <v>532618.0</v>
      </c>
      <c r="JH5" s="11">
        <v>430086.0</v>
      </c>
      <c r="JI5" s="11">
        <v>361024.0</v>
      </c>
      <c r="JJ5" s="11">
        <v>490964.0</v>
      </c>
      <c r="JK5" s="11">
        <v>171535.0</v>
      </c>
      <c r="JL5" s="11">
        <v>485274.0</v>
      </c>
      <c r="JM5" s="11">
        <v>407890.0</v>
      </c>
      <c r="JN5" s="11">
        <v>460896.0</v>
      </c>
      <c r="JO5" s="11">
        <v>381499.0</v>
      </c>
      <c r="JP5" s="11">
        <v>347880.0</v>
      </c>
      <c r="JQ5" s="11">
        <v>375189.0</v>
      </c>
      <c r="JR5" s="11">
        <v>233765.0</v>
      </c>
      <c r="JS5" s="11">
        <v>442756.0</v>
      </c>
      <c r="JT5" s="11">
        <v>437911.0</v>
      </c>
      <c r="JU5" s="11">
        <v>381884.0</v>
      </c>
      <c r="JV5" s="11">
        <v>454377.0</v>
      </c>
      <c r="JW5" s="11">
        <v>279695.0</v>
      </c>
      <c r="JX5" s="11">
        <v>403089.0</v>
      </c>
      <c r="JY5" s="11">
        <v>400819.0</v>
      </c>
      <c r="JZ5" s="11">
        <v>272045.0</v>
      </c>
      <c r="KA5" s="11">
        <v>536904.0</v>
      </c>
      <c r="KB5" s="11">
        <v>256103.0</v>
      </c>
      <c r="KC5" s="11">
        <v>332531.0</v>
      </c>
      <c r="KD5" s="11">
        <v>501139.0</v>
      </c>
      <c r="KE5" s="11">
        <v>347402.0</v>
      </c>
      <c r="KF5" s="11">
        <v>204523.0</v>
      </c>
      <c r="KG5" s="11">
        <v>575054.0</v>
      </c>
      <c r="KH5" s="11">
        <v>510774.0</v>
      </c>
      <c r="KI5" s="11">
        <v>234527.0</v>
      </c>
      <c r="KJ5" s="11">
        <v>255260.0</v>
      </c>
      <c r="KK5" s="11">
        <v>517118.0</v>
      </c>
      <c r="KL5" s="11">
        <v>137145.0</v>
      </c>
      <c r="KM5" s="11">
        <v>414348.0</v>
      </c>
      <c r="KN5" s="11">
        <v>237815.0</v>
      </c>
      <c r="KO5" s="11">
        <v>296751.0</v>
      </c>
      <c r="KP5" s="11">
        <v>267820.0</v>
      </c>
      <c r="KQ5" s="11">
        <v>612639.0</v>
      </c>
      <c r="KR5" s="11">
        <v>332439.0</v>
      </c>
      <c r="KS5" s="11">
        <v>320944.0</v>
      </c>
      <c r="KT5" s="11">
        <v>420620.0</v>
      </c>
      <c r="KU5" s="11">
        <v>453329.0</v>
      </c>
      <c r="KV5" s="11">
        <v>156311.0</v>
      </c>
      <c r="KW5" s="11">
        <v>547438.0</v>
      </c>
      <c r="KX5" s="11">
        <v>257979.0</v>
      </c>
      <c r="KY5" s="11">
        <v>408183.0</v>
      </c>
      <c r="KZ5" s="11">
        <v>216740.0</v>
      </c>
      <c r="LA5" s="11">
        <v>362361.0</v>
      </c>
      <c r="LB5" s="11">
        <v>329614.0</v>
      </c>
      <c r="LC5" s="11">
        <v>412514.0</v>
      </c>
      <c r="LD5" s="11">
        <v>285747.0</v>
      </c>
      <c r="LE5" s="11">
        <v>308888.0</v>
      </c>
      <c r="LF5" s="11">
        <v>263518.0</v>
      </c>
      <c r="LG5" s="11">
        <v>427197.0</v>
      </c>
      <c r="LH5" s="11">
        <v>256129.0</v>
      </c>
      <c r="LI5" s="11">
        <v>317714.0</v>
      </c>
      <c r="LJ5" s="11">
        <v>396031.0</v>
      </c>
      <c r="LK5" s="11">
        <v>685670.0</v>
      </c>
      <c r="LL5" s="11">
        <v>545747.0</v>
      </c>
      <c r="LM5" s="11">
        <v>279786.0</v>
      </c>
      <c r="LN5" s="11">
        <v>210090.0</v>
      </c>
      <c r="LO5" s="11">
        <v>430872.0</v>
      </c>
      <c r="LP5" s="11">
        <v>279896.0</v>
      </c>
      <c r="LQ5" s="11">
        <v>495591.0</v>
      </c>
      <c r="LR5" s="11">
        <v>295162.0</v>
      </c>
      <c r="LS5" s="11">
        <v>356311.0</v>
      </c>
      <c r="LT5" s="11">
        <v>330366.0</v>
      </c>
      <c r="LU5" s="11">
        <v>332950.0</v>
      </c>
      <c r="LV5" s="11">
        <v>335020.0</v>
      </c>
      <c r="LW5" s="11">
        <v>645993.0</v>
      </c>
      <c r="LX5" s="11">
        <v>433884.0</v>
      </c>
      <c r="LY5" s="11">
        <v>179639.0</v>
      </c>
      <c r="LZ5" s="11">
        <v>291041.0</v>
      </c>
      <c r="MA5" s="11">
        <v>508756.0</v>
      </c>
      <c r="MB5" s="11">
        <v>325131.0</v>
      </c>
      <c r="MC5" s="11">
        <v>654252.0</v>
      </c>
      <c r="MD5" s="11">
        <v>515837.0</v>
      </c>
      <c r="ME5" s="11">
        <v>228047.0</v>
      </c>
      <c r="MF5" s="11">
        <v>308152.0</v>
      </c>
      <c r="MG5" s="11">
        <v>363292.0</v>
      </c>
      <c r="MH5" s="11">
        <v>280824.0</v>
      </c>
      <c r="MI5" s="11">
        <v>565138.0</v>
      </c>
      <c r="MJ5" s="11">
        <v>550707.0</v>
      </c>
      <c r="MK5" s="11">
        <v>500755.0</v>
      </c>
      <c r="ML5" s="11">
        <v>321250.0</v>
      </c>
      <c r="MM5" s="11">
        <v>328518.0</v>
      </c>
      <c r="MN5" s="11">
        <v>332032.0</v>
      </c>
      <c r="MO5" s="11">
        <v>513068.0</v>
      </c>
      <c r="MP5" s="11">
        <v>240332.0</v>
      </c>
      <c r="MQ5" s="11">
        <v>216761.0</v>
      </c>
      <c r="MR5" s="11">
        <v>404589.0</v>
      </c>
      <c r="MS5" s="11">
        <v>276170.0</v>
      </c>
      <c r="MT5" s="11">
        <v>265375.0</v>
      </c>
      <c r="MU5" s="11">
        <v>417659.0</v>
      </c>
      <c r="MV5" s="11">
        <v>430140.0</v>
      </c>
      <c r="MW5" s="11">
        <v>417615.0</v>
      </c>
      <c r="MX5" s="11">
        <v>188648.0</v>
      </c>
      <c r="MY5" s="11">
        <v>319613.0</v>
      </c>
      <c r="MZ5" s="11">
        <v>619037.0</v>
      </c>
      <c r="NA5" s="11">
        <v>490344.0</v>
      </c>
      <c r="NB5" s="12">
        <v>275429.0</v>
      </c>
    </row>
    <row r="6">
      <c r="A6" s="8">
        <v>1.0</v>
      </c>
      <c r="B6" s="9" t="s">
        <v>370</v>
      </c>
      <c r="C6" s="10">
        <v>299525.0</v>
      </c>
      <c r="D6" s="11">
        <v>0.0</v>
      </c>
      <c r="E6" s="11">
        <v>0.0</v>
      </c>
      <c r="F6" s="11">
        <v>320122.0</v>
      </c>
      <c r="G6" s="11">
        <v>0.0</v>
      </c>
      <c r="H6" s="11">
        <v>70955.0</v>
      </c>
      <c r="I6" s="11">
        <v>5872.0</v>
      </c>
      <c r="J6" s="11">
        <v>0.0</v>
      </c>
      <c r="K6" s="11">
        <v>2005.0</v>
      </c>
      <c r="L6" s="11">
        <v>317713.0</v>
      </c>
      <c r="M6" s="11">
        <v>112232.0</v>
      </c>
      <c r="N6" s="11">
        <v>0.0</v>
      </c>
      <c r="O6" s="11">
        <v>0.0</v>
      </c>
      <c r="P6" s="11">
        <v>620800.0</v>
      </c>
      <c r="Q6" s="11">
        <v>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7047.0</v>
      </c>
      <c r="AB6" s="11">
        <v>0.0</v>
      </c>
      <c r="AC6" s="11">
        <v>6603.0</v>
      </c>
      <c r="AD6" s="11">
        <v>11047.0</v>
      </c>
      <c r="AE6" s="11">
        <v>300433.0</v>
      </c>
      <c r="AF6" s="11">
        <v>0.0</v>
      </c>
      <c r="AG6" s="11">
        <v>0.0</v>
      </c>
      <c r="AH6" s="11">
        <v>0.0</v>
      </c>
      <c r="AI6" s="11">
        <v>0.0</v>
      </c>
      <c r="AJ6" s="11">
        <v>4500.0</v>
      </c>
      <c r="AK6" s="11">
        <v>73004.0</v>
      </c>
      <c r="AL6" s="11">
        <v>0.0</v>
      </c>
      <c r="AM6" s="11">
        <v>0.0</v>
      </c>
      <c r="AN6" s="11">
        <v>0.0</v>
      </c>
      <c r="AO6" s="11">
        <v>416651.0</v>
      </c>
      <c r="AP6" s="11">
        <v>0.0</v>
      </c>
      <c r="AQ6" s="11">
        <v>105315.0</v>
      </c>
      <c r="AR6" s="11">
        <v>880312.0</v>
      </c>
      <c r="AS6" s="11">
        <v>0.0</v>
      </c>
      <c r="AT6" s="11">
        <v>0.0</v>
      </c>
      <c r="AU6" s="11">
        <v>404707.0</v>
      </c>
      <c r="AV6" s="11">
        <v>928396.0</v>
      </c>
      <c r="AW6" s="11">
        <v>0.0</v>
      </c>
      <c r="AX6" s="11">
        <v>475361.0</v>
      </c>
      <c r="AY6" s="11">
        <v>0.0</v>
      </c>
      <c r="AZ6" s="11">
        <v>0.0</v>
      </c>
      <c r="BA6" s="11">
        <v>299152.0</v>
      </c>
      <c r="BB6" s="11">
        <v>263895.0</v>
      </c>
      <c r="BC6" s="11">
        <v>0.0</v>
      </c>
      <c r="BD6" s="11">
        <v>0.0</v>
      </c>
      <c r="BE6" s="11">
        <v>158817.0</v>
      </c>
      <c r="BF6" s="11">
        <v>0.0</v>
      </c>
      <c r="BG6" s="11">
        <v>0.0</v>
      </c>
      <c r="BH6" s="11">
        <v>0.0</v>
      </c>
      <c r="BI6" s="11">
        <v>106500.0</v>
      </c>
      <c r="BJ6" s="11">
        <v>0.0</v>
      </c>
      <c r="BK6" s="11">
        <v>112679.0</v>
      </c>
      <c r="BL6" s="11">
        <v>0.0</v>
      </c>
      <c r="BM6" s="11">
        <v>0.0</v>
      </c>
      <c r="BN6" s="11">
        <v>0.0</v>
      </c>
      <c r="BO6" s="11">
        <v>0.0</v>
      </c>
      <c r="BP6" s="11">
        <v>0.0</v>
      </c>
      <c r="BQ6" s="11">
        <v>0.0</v>
      </c>
      <c r="BR6" s="11">
        <v>72807.0</v>
      </c>
      <c r="BS6" s="11">
        <v>0.0</v>
      </c>
      <c r="BT6" s="11">
        <v>0.0</v>
      </c>
      <c r="BU6" s="11">
        <v>0.0</v>
      </c>
      <c r="BV6" s="11">
        <v>0.0</v>
      </c>
      <c r="BW6" s="11">
        <v>408404.0</v>
      </c>
      <c r="BX6" s="11">
        <v>0.0</v>
      </c>
      <c r="BY6" s="11">
        <v>0.0</v>
      </c>
      <c r="BZ6" s="11">
        <v>0.0</v>
      </c>
      <c r="CA6" s="11">
        <v>298972.0</v>
      </c>
      <c r="CB6" s="11">
        <v>0.0</v>
      </c>
      <c r="CC6" s="11">
        <v>296068.0</v>
      </c>
      <c r="CD6" s="11">
        <v>314542.0</v>
      </c>
      <c r="CE6" s="11">
        <v>281050.0</v>
      </c>
      <c r="CF6" s="11">
        <v>0.0</v>
      </c>
      <c r="CG6" s="11">
        <v>6143.0</v>
      </c>
      <c r="CH6" s="11">
        <v>0.0</v>
      </c>
      <c r="CI6" s="11">
        <v>5887.0</v>
      </c>
      <c r="CJ6" s="11">
        <v>14806.0</v>
      </c>
      <c r="CK6" s="11">
        <v>888066.0</v>
      </c>
      <c r="CL6" s="11">
        <v>5359102.0</v>
      </c>
      <c r="CM6" s="11">
        <v>5643318.0</v>
      </c>
      <c r="CN6" s="11">
        <v>5652246.0</v>
      </c>
      <c r="CO6" s="11">
        <v>6400632.0</v>
      </c>
      <c r="CP6" s="11">
        <v>5294721.0</v>
      </c>
      <c r="CQ6" s="11">
        <v>6176686.0</v>
      </c>
      <c r="CR6" s="11">
        <v>6108075.0</v>
      </c>
      <c r="CS6" s="11">
        <v>5431979.0</v>
      </c>
      <c r="CT6" s="11">
        <v>4816712.0</v>
      </c>
      <c r="CU6" s="11">
        <v>6564575.0</v>
      </c>
      <c r="CV6" s="11">
        <v>6951135.0</v>
      </c>
      <c r="CW6" s="11">
        <v>5959432.0</v>
      </c>
      <c r="CX6" s="11">
        <v>7099782.0</v>
      </c>
      <c r="CY6" s="11">
        <v>4469968.0</v>
      </c>
      <c r="CZ6" s="11">
        <v>7004326.0</v>
      </c>
      <c r="DA6" s="11">
        <v>7128989.0</v>
      </c>
      <c r="DB6" s="11">
        <v>5341310.0</v>
      </c>
      <c r="DC6" s="11">
        <v>5984528.0</v>
      </c>
      <c r="DD6" s="11">
        <v>5591166.0</v>
      </c>
      <c r="DE6" s="11">
        <v>4894778.0</v>
      </c>
      <c r="DF6" s="11">
        <v>4569711.0</v>
      </c>
      <c r="DG6" s="11">
        <v>5389795.0</v>
      </c>
      <c r="DH6" s="11">
        <v>6377220.0</v>
      </c>
      <c r="DI6" s="11">
        <v>4137789.0</v>
      </c>
      <c r="DJ6" s="11">
        <v>4870546.0</v>
      </c>
      <c r="DK6" s="11">
        <v>6594737.0</v>
      </c>
      <c r="DL6" s="11">
        <v>5205357.0</v>
      </c>
      <c r="DM6" s="11">
        <v>5027475.0</v>
      </c>
      <c r="DN6" s="11">
        <v>8454428.0</v>
      </c>
      <c r="DO6" s="11">
        <v>5083599.0</v>
      </c>
      <c r="DP6" s="11">
        <v>6953684.0</v>
      </c>
      <c r="DQ6" s="11">
        <v>5696615.0</v>
      </c>
      <c r="DR6" s="11">
        <v>2824758.0</v>
      </c>
      <c r="DS6" s="11">
        <v>5877169.0</v>
      </c>
      <c r="DT6" s="11">
        <v>7667673.0</v>
      </c>
      <c r="DU6" s="11">
        <v>4144310.0</v>
      </c>
      <c r="DV6" s="11">
        <v>6408938.0</v>
      </c>
      <c r="DW6" s="11">
        <v>5385554.0</v>
      </c>
      <c r="DX6" s="11">
        <v>7023195.0</v>
      </c>
      <c r="DY6" s="11">
        <v>7447882.0</v>
      </c>
      <c r="DZ6" s="11">
        <v>3478978.0</v>
      </c>
      <c r="EA6" s="11">
        <v>5010902.0</v>
      </c>
      <c r="EB6" s="11">
        <v>4137115.0</v>
      </c>
      <c r="EC6" s="11">
        <v>4907421.0</v>
      </c>
      <c r="ED6" s="11">
        <v>5852736.0</v>
      </c>
      <c r="EE6" s="11">
        <v>5051471.0</v>
      </c>
      <c r="EF6" s="11">
        <v>5265586.0</v>
      </c>
      <c r="EG6" s="11">
        <v>6732756.0</v>
      </c>
      <c r="EH6" s="11">
        <v>4133952.0</v>
      </c>
      <c r="EI6" s="11">
        <v>5876640.0</v>
      </c>
      <c r="EJ6" s="11">
        <v>5589627.0</v>
      </c>
      <c r="EK6" s="11">
        <v>5266376.0</v>
      </c>
      <c r="EL6" s="11">
        <v>4548033.0</v>
      </c>
      <c r="EM6" s="11">
        <v>4202321.0</v>
      </c>
      <c r="EN6" s="11">
        <v>5573141.0</v>
      </c>
      <c r="EO6" s="11">
        <v>5557339.0</v>
      </c>
      <c r="EP6" s="11">
        <v>5758975.0</v>
      </c>
      <c r="EQ6" s="11">
        <v>4673328.0</v>
      </c>
      <c r="ER6" s="11">
        <v>5537806.0</v>
      </c>
      <c r="ES6" s="11">
        <v>3199933.0</v>
      </c>
      <c r="ET6" s="11">
        <v>3295424.0</v>
      </c>
      <c r="EU6" s="11">
        <v>3854744.0</v>
      </c>
      <c r="EV6" s="11">
        <v>4456866.0</v>
      </c>
      <c r="EW6" s="11">
        <v>7203349.0</v>
      </c>
      <c r="EX6" s="11">
        <v>6774762.0</v>
      </c>
      <c r="EY6" s="11">
        <v>4382499.0</v>
      </c>
      <c r="EZ6" s="11">
        <v>5622747.0</v>
      </c>
      <c r="FA6" s="11">
        <v>7003577.0</v>
      </c>
      <c r="FB6" s="11">
        <v>5007359.0</v>
      </c>
      <c r="FC6" s="11">
        <v>4251928.0</v>
      </c>
      <c r="FD6" s="11">
        <v>2102422.0</v>
      </c>
      <c r="FE6" s="11">
        <v>4994564.0</v>
      </c>
      <c r="FF6" s="11">
        <v>6707033.0</v>
      </c>
      <c r="FG6" s="11">
        <v>2712314.0</v>
      </c>
      <c r="FH6" s="11">
        <v>5410404.0</v>
      </c>
      <c r="FI6" s="11">
        <v>5428336.0</v>
      </c>
      <c r="FJ6" s="11">
        <v>6701668.0</v>
      </c>
      <c r="FK6" s="11">
        <v>3878568.0</v>
      </c>
      <c r="FL6" s="11">
        <v>4987338.0</v>
      </c>
      <c r="FM6" s="11">
        <v>5009311.0</v>
      </c>
      <c r="FN6" s="11">
        <v>5193577.0</v>
      </c>
      <c r="FO6" s="11">
        <v>4716813.0</v>
      </c>
      <c r="FP6" s="11">
        <v>4734033.0</v>
      </c>
      <c r="FQ6" s="11">
        <v>5861469.0</v>
      </c>
      <c r="FR6" s="11">
        <v>4255599.0</v>
      </c>
      <c r="FS6" s="11">
        <v>4127908.0</v>
      </c>
      <c r="FT6" s="11">
        <v>7038112.0</v>
      </c>
      <c r="FU6" s="11">
        <v>4002260.0</v>
      </c>
      <c r="FV6" s="11">
        <v>6183578.0</v>
      </c>
      <c r="FW6" s="11">
        <v>5309865.0</v>
      </c>
      <c r="FX6" s="11">
        <v>5476059.0</v>
      </c>
      <c r="FY6" s="11">
        <v>5004435.0</v>
      </c>
      <c r="FZ6" s="11">
        <v>3968432.0</v>
      </c>
      <c r="GA6" s="11">
        <v>6099572.0</v>
      </c>
      <c r="GB6" s="11">
        <v>5517097.0</v>
      </c>
      <c r="GC6" s="11">
        <v>6396993.0</v>
      </c>
      <c r="GD6" s="11">
        <v>3303771.0</v>
      </c>
      <c r="GE6" s="11">
        <v>6160813.0</v>
      </c>
      <c r="GF6" s="11">
        <v>5323947.0</v>
      </c>
      <c r="GG6" s="11">
        <v>6411847.0</v>
      </c>
      <c r="GH6" s="11">
        <v>6427765.0</v>
      </c>
      <c r="GI6" s="11">
        <v>5051400.0</v>
      </c>
      <c r="GJ6" s="11">
        <v>6366980.0</v>
      </c>
      <c r="GK6" s="11">
        <v>5109737.0</v>
      </c>
      <c r="GL6" s="11">
        <v>5731000.0</v>
      </c>
      <c r="GM6" s="11">
        <v>5787467.0</v>
      </c>
      <c r="GN6" s="11">
        <v>5676535.0</v>
      </c>
      <c r="GO6" s="11">
        <v>5811885.0</v>
      </c>
      <c r="GP6" s="11">
        <v>5804337.0</v>
      </c>
      <c r="GQ6" s="11">
        <v>4869942.0</v>
      </c>
      <c r="GR6" s="11">
        <v>5242397.0</v>
      </c>
      <c r="GS6" s="11">
        <v>6304780.0</v>
      </c>
      <c r="GT6" s="11">
        <v>5690354.0</v>
      </c>
      <c r="GU6" s="11">
        <v>4878713.0</v>
      </c>
      <c r="GV6" s="11">
        <v>5408090.0</v>
      </c>
      <c r="GW6" s="11">
        <v>5427221.0</v>
      </c>
      <c r="GX6" s="11">
        <v>6516486.0</v>
      </c>
      <c r="GY6" s="11">
        <v>4750287.0</v>
      </c>
      <c r="GZ6" s="11">
        <v>5725435.0</v>
      </c>
      <c r="HA6" s="11">
        <v>5299122.0</v>
      </c>
      <c r="HB6" s="11">
        <v>6642669.0</v>
      </c>
      <c r="HC6" s="11">
        <v>5249654.0</v>
      </c>
      <c r="HD6" s="11">
        <v>4523086.0</v>
      </c>
      <c r="HE6" s="11">
        <v>4366352.0</v>
      </c>
      <c r="HF6" s="11">
        <v>4414464.0</v>
      </c>
      <c r="HG6" s="11">
        <v>4229159.0</v>
      </c>
      <c r="HH6" s="11">
        <v>6148466.0</v>
      </c>
      <c r="HI6" s="11">
        <v>7219572.0</v>
      </c>
      <c r="HJ6" s="11">
        <v>4524280.0</v>
      </c>
      <c r="HK6" s="11">
        <v>5445442.0</v>
      </c>
      <c r="HL6" s="11">
        <v>6297746.0</v>
      </c>
      <c r="HM6" s="11">
        <v>5171152.0</v>
      </c>
      <c r="HN6" s="11">
        <v>5618950.0</v>
      </c>
      <c r="HO6" s="11">
        <v>4461425.0</v>
      </c>
      <c r="HP6" s="11">
        <v>6063318.0</v>
      </c>
      <c r="HQ6" s="11">
        <v>4637750.0</v>
      </c>
      <c r="HR6" s="11">
        <v>6582162.0</v>
      </c>
      <c r="HS6" s="11">
        <v>6479515.0</v>
      </c>
      <c r="HT6" s="11">
        <v>5122617.0</v>
      </c>
      <c r="HU6" s="11">
        <v>4110546.0</v>
      </c>
      <c r="HV6" s="11">
        <v>6833207.0</v>
      </c>
      <c r="HW6" s="11">
        <v>5625458.0</v>
      </c>
      <c r="HX6" s="11">
        <v>6375447.0</v>
      </c>
      <c r="HY6" s="11">
        <v>4481214.0</v>
      </c>
      <c r="HZ6" s="11">
        <v>7263739.0</v>
      </c>
      <c r="IA6" s="11">
        <v>4295487.0</v>
      </c>
      <c r="IB6" s="11">
        <v>7110866.0</v>
      </c>
      <c r="IC6" s="11">
        <v>3865008.0</v>
      </c>
      <c r="ID6" s="11">
        <v>4730239.0</v>
      </c>
      <c r="IE6" s="11">
        <v>7238449.0</v>
      </c>
      <c r="IF6" s="11">
        <v>4929360.0</v>
      </c>
      <c r="IG6" s="11">
        <v>3937082.0</v>
      </c>
      <c r="IH6" s="11">
        <v>4818860.0</v>
      </c>
      <c r="II6" s="11">
        <v>7925250.0</v>
      </c>
      <c r="IJ6" s="11">
        <v>6025265.0</v>
      </c>
      <c r="IK6" s="11">
        <v>4744546.0</v>
      </c>
      <c r="IL6" s="11">
        <v>5534512.0</v>
      </c>
      <c r="IM6" s="11">
        <v>4747985.0</v>
      </c>
      <c r="IN6" s="11">
        <v>5534217.0</v>
      </c>
      <c r="IO6" s="11">
        <v>5886871.0</v>
      </c>
      <c r="IP6" s="11">
        <v>6695971.0</v>
      </c>
      <c r="IQ6" s="11">
        <v>5285695.0</v>
      </c>
      <c r="IR6" s="11">
        <v>5183409.0</v>
      </c>
      <c r="IS6" s="11">
        <v>5823220.0</v>
      </c>
      <c r="IT6" s="11">
        <v>4759109.0</v>
      </c>
      <c r="IU6" s="11">
        <v>6045185.0</v>
      </c>
      <c r="IV6" s="11">
        <v>5112759.0</v>
      </c>
      <c r="IW6" s="11">
        <v>5032659.0</v>
      </c>
      <c r="IX6" s="11">
        <v>4401749.0</v>
      </c>
      <c r="IY6" s="11">
        <v>6683483.0</v>
      </c>
      <c r="IZ6" s="11">
        <v>4632050.0</v>
      </c>
      <c r="JA6" s="11">
        <v>6120244.0</v>
      </c>
      <c r="JB6" s="11">
        <v>3704004.0</v>
      </c>
      <c r="JC6" s="11">
        <v>6387808.0</v>
      </c>
      <c r="JD6" s="11">
        <v>4995701.0</v>
      </c>
      <c r="JE6" s="11">
        <v>6214634.0</v>
      </c>
      <c r="JF6" s="11">
        <v>5928247.0</v>
      </c>
      <c r="JG6" s="11">
        <v>6791701.0</v>
      </c>
      <c r="JH6" s="11">
        <v>4164660.0</v>
      </c>
      <c r="JI6" s="11">
        <v>4796189.0</v>
      </c>
      <c r="JJ6" s="11">
        <v>5107329.0</v>
      </c>
      <c r="JK6" s="11">
        <v>7578613.0</v>
      </c>
      <c r="JL6" s="11">
        <v>6070646.0</v>
      </c>
      <c r="JM6" s="11">
        <v>4847750.0</v>
      </c>
      <c r="JN6" s="11">
        <v>4671544.0</v>
      </c>
      <c r="JO6" s="11">
        <v>6506976.0</v>
      </c>
      <c r="JP6" s="11">
        <v>5599529.0</v>
      </c>
      <c r="JQ6" s="11">
        <v>4616268.0</v>
      </c>
      <c r="JR6" s="11">
        <v>5938301.0</v>
      </c>
      <c r="JS6" s="11">
        <v>5962281.0</v>
      </c>
      <c r="JT6" s="11">
        <v>6207328.0</v>
      </c>
      <c r="JU6" s="11">
        <v>5220432.0</v>
      </c>
      <c r="JV6" s="11">
        <v>3942858.0</v>
      </c>
      <c r="JW6" s="11">
        <v>5194578.0</v>
      </c>
      <c r="JX6" s="11">
        <v>4864346.0</v>
      </c>
      <c r="JY6" s="11">
        <v>7788880.0</v>
      </c>
      <c r="JZ6" s="11">
        <v>3502144.0</v>
      </c>
      <c r="KA6" s="11">
        <v>6035883.0</v>
      </c>
      <c r="KB6" s="11">
        <v>6916300.0</v>
      </c>
      <c r="KC6" s="11">
        <v>5422540.0</v>
      </c>
      <c r="KD6" s="11">
        <v>5539792.0</v>
      </c>
      <c r="KE6" s="11">
        <v>4715158.0</v>
      </c>
      <c r="KF6" s="11">
        <v>6268195.0</v>
      </c>
      <c r="KG6" s="11">
        <v>6518392.0</v>
      </c>
      <c r="KH6" s="11">
        <v>6013649.0</v>
      </c>
      <c r="KI6" s="11">
        <v>6179891.0</v>
      </c>
      <c r="KJ6" s="11">
        <v>4120162.0</v>
      </c>
      <c r="KK6" s="11">
        <v>7575689.0</v>
      </c>
      <c r="KL6" s="11">
        <v>3605152.0</v>
      </c>
      <c r="KM6" s="11">
        <v>5831237.0</v>
      </c>
      <c r="KN6" s="11">
        <v>7044082.0</v>
      </c>
      <c r="KO6" s="11">
        <v>5858452.0</v>
      </c>
      <c r="KP6" s="11">
        <v>5775607.0</v>
      </c>
      <c r="KQ6" s="11">
        <v>6038424.0</v>
      </c>
      <c r="KR6" s="11">
        <v>4373981.0</v>
      </c>
      <c r="KS6" s="11">
        <v>4797209.0</v>
      </c>
      <c r="KT6" s="11">
        <v>4909121.0</v>
      </c>
      <c r="KU6" s="11">
        <v>6784678.0</v>
      </c>
      <c r="KV6" s="11">
        <v>4790085.0</v>
      </c>
      <c r="KW6" s="11">
        <v>4460098.0</v>
      </c>
      <c r="KX6" s="11">
        <v>5584597.0</v>
      </c>
      <c r="KY6" s="11">
        <v>4540001.0</v>
      </c>
      <c r="KZ6" s="11">
        <v>5998177.0</v>
      </c>
      <c r="LA6" s="11">
        <v>6141271.0</v>
      </c>
      <c r="LB6" s="11">
        <v>5046276.0</v>
      </c>
      <c r="LC6" s="11">
        <v>6010370.0</v>
      </c>
      <c r="LD6" s="11">
        <v>5995238.0</v>
      </c>
      <c r="LE6" s="11">
        <v>4765048.0</v>
      </c>
      <c r="LF6" s="11">
        <v>5269561.0</v>
      </c>
      <c r="LG6" s="11">
        <v>6618500.0</v>
      </c>
      <c r="LH6" s="11">
        <v>4250711.0</v>
      </c>
      <c r="LI6" s="11">
        <v>6095448.0</v>
      </c>
      <c r="LJ6" s="11">
        <v>7337913.0</v>
      </c>
      <c r="LK6" s="11">
        <v>5319511.0</v>
      </c>
      <c r="LL6" s="11">
        <v>7904236.0</v>
      </c>
      <c r="LM6" s="11">
        <v>4404879.0</v>
      </c>
      <c r="LN6" s="11">
        <v>4379360.0</v>
      </c>
      <c r="LO6" s="11">
        <v>3992800.0</v>
      </c>
      <c r="LP6" s="11">
        <v>5846292.0</v>
      </c>
      <c r="LQ6" s="11">
        <v>6483898.0</v>
      </c>
      <c r="LR6" s="11">
        <v>6589872.0</v>
      </c>
      <c r="LS6" s="11">
        <v>6318327.0</v>
      </c>
      <c r="LT6" s="11">
        <v>5567162.0</v>
      </c>
      <c r="LU6" s="11">
        <v>4993107.0</v>
      </c>
      <c r="LV6" s="11">
        <v>4751217.0</v>
      </c>
      <c r="LW6" s="11">
        <v>5782225.0</v>
      </c>
      <c r="LX6" s="11">
        <v>5175228.0</v>
      </c>
      <c r="LY6" s="11">
        <v>6056080.0</v>
      </c>
      <c r="LZ6" s="11">
        <v>7763693.0</v>
      </c>
      <c r="MA6" s="11">
        <v>3477027.0</v>
      </c>
      <c r="MB6" s="11">
        <v>5403989.0</v>
      </c>
      <c r="MC6" s="11">
        <v>4724916.0</v>
      </c>
      <c r="MD6" s="11">
        <v>4341707.0</v>
      </c>
      <c r="ME6" s="11">
        <v>5079620.0</v>
      </c>
      <c r="MF6" s="11">
        <v>5997766.0</v>
      </c>
      <c r="MG6" s="11">
        <v>7925624.0</v>
      </c>
      <c r="MH6" s="11">
        <v>4484247.0</v>
      </c>
      <c r="MI6" s="11">
        <v>4886920.0</v>
      </c>
      <c r="MJ6" s="11">
        <v>5421459.0</v>
      </c>
      <c r="MK6" s="11">
        <v>4917878.0</v>
      </c>
      <c r="ML6" s="11">
        <v>4073592.0</v>
      </c>
      <c r="MM6" s="11">
        <v>5792917.0</v>
      </c>
      <c r="MN6" s="11">
        <v>4367392.0</v>
      </c>
      <c r="MO6" s="11">
        <v>5492650.0</v>
      </c>
      <c r="MP6" s="11">
        <v>5923283.0</v>
      </c>
      <c r="MQ6" s="11">
        <v>6621058.0</v>
      </c>
      <c r="MR6" s="11">
        <v>6486746.0</v>
      </c>
      <c r="MS6" s="11">
        <v>6860642.0</v>
      </c>
      <c r="MT6" s="11">
        <v>5726357.0</v>
      </c>
      <c r="MU6" s="11">
        <v>4714173.0</v>
      </c>
      <c r="MV6" s="11">
        <v>6676020.0</v>
      </c>
      <c r="MW6" s="11">
        <v>5667117.0</v>
      </c>
      <c r="MX6" s="11">
        <v>5678092.0</v>
      </c>
      <c r="MY6" s="11">
        <v>4576651.0</v>
      </c>
      <c r="MZ6" s="11">
        <v>4041356.0</v>
      </c>
      <c r="NA6" s="11">
        <v>6644919.0</v>
      </c>
      <c r="NB6" s="12">
        <v>4870160.0</v>
      </c>
    </row>
    <row r="7">
      <c r="A7" s="8">
        <v>2.0</v>
      </c>
      <c r="B7" s="9" t="s">
        <v>368</v>
      </c>
      <c r="C7" s="10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5872.0</v>
      </c>
      <c r="J7" s="11">
        <v>0.0</v>
      </c>
      <c r="K7" s="11">
        <v>0.0</v>
      </c>
      <c r="L7" s="11">
        <v>317713.0</v>
      </c>
      <c r="M7" s="11">
        <v>106360.0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11">
        <v>0.0</v>
      </c>
      <c r="T7" s="11">
        <v>0.0</v>
      </c>
      <c r="U7" s="11">
        <v>0.0</v>
      </c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1">
        <v>7047.0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v>880312.0</v>
      </c>
      <c r="AS7" s="11">
        <v>0.0</v>
      </c>
      <c r="AT7" s="11">
        <v>0.0</v>
      </c>
      <c r="AU7" s="11">
        <v>404707.0</v>
      </c>
      <c r="AV7" s="11">
        <v>0.0</v>
      </c>
      <c r="AW7" s="11">
        <v>0.0</v>
      </c>
      <c r="AX7" s="11">
        <v>309497.0</v>
      </c>
      <c r="AY7" s="11">
        <v>0.0</v>
      </c>
      <c r="AZ7" s="11">
        <v>0.0</v>
      </c>
      <c r="BA7" s="11">
        <v>299152.0</v>
      </c>
      <c r="BB7" s="11">
        <v>0.0</v>
      </c>
      <c r="BC7" s="11">
        <v>0.0</v>
      </c>
      <c r="BD7" s="11">
        <v>0.0</v>
      </c>
      <c r="BE7" s="11">
        <v>158817.0</v>
      </c>
      <c r="BF7" s="11">
        <v>0.0</v>
      </c>
      <c r="BG7" s="11">
        <v>0.0</v>
      </c>
      <c r="BH7" s="11">
        <v>0.0</v>
      </c>
      <c r="BI7" s="11">
        <v>0.0</v>
      </c>
      <c r="BJ7" s="11">
        <v>0.0</v>
      </c>
      <c r="BK7" s="11">
        <v>112679.0</v>
      </c>
      <c r="BL7" s="11">
        <v>0.0</v>
      </c>
      <c r="BM7" s="11">
        <v>0.0</v>
      </c>
      <c r="BN7" s="11">
        <v>0.0</v>
      </c>
      <c r="BO7" s="11">
        <v>0.0</v>
      </c>
      <c r="BP7" s="11">
        <v>0.0</v>
      </c>
      <c r="BQ7" s="11">
        <v>0.0</v>
      </c>
      <c r="BR7" s="11">
        <v>0.0</v>
      </c>
      <c r="BS7" s="11">
        <v>0.0</v>
      </c>
      <c r="BT7" s="11">
        <v>0.0</v>
      </c>
      <c r="BU7" s="11">
        <v>0.0</v>
      </c>
      <c r="BV7" s="11">
        <v>0.0</v>
      </c>
      <c r="BW7" s="11">
        <v>0.0</v>
      </c>
      <c r="BX7" s="11">
        <v>0.0</v>
      </c>
      <c r="BY7" s="11">
        <v>0.0</v>
      </c>
      <c r="BZ7" s="11">
        <v>0.0</v>
      </c>
      <c r="CA7" s="11">
        <v>0.0</v>
      </c>
      <c r="CB7" s="11">
        <v>0.0</v>
      </c>
      <c r="CC7" s="11">
        <v>0.0</v>
      </c>
      <c r="CD7" s="11">
        <v>157271.0</v>
      </c>
      <c r="CE7" s="11">
        <v>0.0</v>
      </c>
      <c r="CF7" s="11">
        <v>0.0</v>
      </c>
      <c r="CG7" s="11">
        <v>0.0</v>
      </c>
      <c r="CH7" s="11">
        <v>0.0</v>
      </c>
      <c r="CI7" s="11">
        <v>0.0</v>
      </c>
      <c r="CJ7" s="11">
        <v>0.0</v>
      </c>
      <c r="CK7" s="11">
        <v>459388.0</v>
      </c>
      <c r="CL7" s="11">
        <v>2112281.0</v>
      </c>
      <c r="CM7" s="11">
        <v>2168275.0</v>
      </c>
      <c r="CN7" s="11">
        <v>3726859.0</v>
      </c>
      <c r="CO7" s="11">
        <v>2615148.0</v>
      </c>
      <c r="CP7" s="11">
        <v>2968096.0</v>
      </c>
      <c r="CQ7" s="11">
        <v>3810845.0</v>
      </c>
      <c r="CR7" s="11">
        <v>3207160.0</v>
      </c>
      <c r="CS7" s="11">
        <v>2985579.0</v>
      </c>
      <c r="CT7" s="11">
        <v>2612503.0</v>
      </c>
      <c r="CU7" s="11">
        <v>3814480.0</v>
      </c>
      <c r="CV7" s="11">
        <v>3909401.0</v>
      </c>
      <c r="CW7" s="11">
        <v>2980123.0</v>
      </c>
      <c r="CX7" s="11">
        <v>3603062.0</v>
      </c>
      <c r="CY7" s="11">
        <v>1763393.0</v>
      </c>
      <c r="CZ7" s="11">
        <v>3931242.0</v>
      </c>
      <c r="DA7" s="11">
        <v>4145091.0</v>
      </c>
      <c r="DB7" s="11">
        <v>2281808.0</v>
      </c>
      <c r="DC7" s="11">
        <v>3415661.0</v>
      </c>
      <c r="DD7" s="11">
        <v>1939012.0</v>
      </c>
      <c r="DE7" s="11">
        <v>2493518.0</v>
      </c>
      <c r="DF7" s="11">
        <v>2347821.0</v>
      </c>
      <c r="DG7" s="11">
        <v>2905847.0</v>
      </c>
      <c r="DH7" s="11">
        <v>3942951.0</v>
      </c>
      <c r="DI7" s="11">
        <v>1708751.0</v>
      </c>
      <c r="DJ7" s="11">
        <v>2583274.0</v>
      </c>
      <c r="DK7" s="11">
        <v>3693170.0</v>
      </c>
      <c r="DL7" s="11">
        <v>1246190.0</v>
      </c>
      <c r="DM7" s="11">
        <v>2704862.0</v>
      </c>
      <c r="DN7" s="11">
        <v>4790043.0</v>
      </c>
      <c r="DO7" s="11">
        <v>1590779.0</v>
      </c>
      <c r="DP7" s="11">
        <v>3454923.0</v>
      </c>
      <c r="DQ7" s="11">
        <v>3844123.0</v>
      </c>
      <c r="DR7" s="11">
        <v>564285.0</v>
      </c>
      <c r="DS7" s="11">
        <v>2923752.0</v>
      </c>
      <c r="DT7" s="11">
        <v>3626502.0</v>
      </c>
      <c r="DU7" s="11">
        <v>2273363.0</v>
      </c>
      <c r="DV7" s="11">
        <v>3800363.0</v>
      </c>
      <c r="DW7" s="11">
        <v>3500303.0</v>
      </c>
      <c r="DX7" s="11">
        <v>3006610.0</v>
      </c>
      <c r="DY7" s="11">
        <v>4639288.0</v>
      </c>
      <c r="DZ7" s="11">
        <v>1404472.0</v>
      </c>
      <c r="EA7" s="11">
        <v>2390823.0</v>
      </c>
      <c r="EB7" s="11">
        <v>2400643.0</v>
      </c>
      <c r="EC7" s="11">
        <v>2353624.0</v>
      </c>
      <c r="ED7" s="11">
        <v>2947569.0</v>
      </c>
      <c r="EE7" s="11">
        <v>2622915.0</v>
      </c>
      <c r="EF7" s="11">
        <v>2910225.0</v>
      </c>
      <c r="EG7" s="11">
        <v>3810770.0</v>
      </c>
      <c r="EH7" s="11">
        <v>2059015.0</v>
      </c>
      <c r="EI7" s="11">
        <v>2215267.0</v>
      </c>
      <c r="EJ7" s="11">
        <v>2302519.0</v>
      </c>
      <c r="EK7" s="11">
        <v>2493148.0</v>
      </c>
      <c r="EL7" s="11">
        <v>2330837.0</v>
      </c>
      <c r="EM7" s="11">
        <v>2472465.0</v>
      </c>
      <c r="EN7" s="11">
        <v>3139464.0</v>
      </c>
      <c r="EO7" s="11">
        <v>2709375.0</v>
      </c>
      <c r="EP7" s="11">
        <v>3025075.0</v>
      </c>
      <c r="EQ7" s="11">
        <v>1898335.0</v>
      </c>
      <c r="ER7" s="11">
        <v>3290761.0</v>
      </c>
      <c r="ES7" s="11">
        <v>1991955.0</v>
      </c>
      <c r="ET7" s="11">
        <v>1327755.0</v>
      </c>
      <c r="EU7" s="11">
        <v>2659395.0</v>
      </c>
      <c r="EV7" s="11">
        <v>1619235.0</v>
      </c>
      <c r="EW7" s="11">
        <v>3535386.0</v>
      </c>
      <c r="EX7" s="11">
        <v>2859985.0</v>
      </c>
      <c r="EY7" s="11">
        <v>2197366.0</v>
      </c>
      <c r="EZ7" s="11">
        <v>3142077.0</v>
      </c>
      <c r="FA7" s="11">
        <v>2611373.0</v>
      </c>
      <c r="FB7" s="11">
        <v>3552272.0</v>
      </c>
      <c r="FC7" s="11">
        <v>2696278.0</v>
      </c>
      <c r="FD7" s="11">
        <v>1154675.0</v>
      </c>
      <c r="FE7" s="11">
        <v>2089368.0</v>
      </c>
      <c r="FF7" s="11">
        <v>4454304.0</v>
      </c>
      <c r="FG7" s="11">
        <v>1849953.0</v>
      </c>
      <c r="FH7" s="11">
        <v>1967583.0</v>
      </c>
      <c r="FI7" s="11">
        <v>2837817.0</v>
      </c>
      <c r="FJ7" s="11">
        <v>3025744.0</v>
      </c>
      <c r="FK7" s="11">
        <v>2077803.0</v>
      </c>
      <c r="FL7" s="11">
        <v>2686493.0</v>
      </c>
      <c r="FM7" s="11">
        <v>1419458.0</v>
      </c>
      <c r="FN7" s="11">
        <v>3317070.0</v>
      </c>
      <c r="FO7" s="11">
        <v>2376737.0</v>
      </c>
      <c r="FP7" s="11">
        <v>2452603.0</v>
      </c>
      <c r="FQ7" s="11">
        <v>2323403.0</v>
      </c>
      <c r="FR7" s="11">
        <v>2517554.0</v>
      </c>
      <c r="FS7" s="11">
        <v>1799443.0</v>
      </c>
      <c r="FT7" s="11">
        <v>3238202.0</v>
      </c>
      <c r="FU7" s="11">
        <v>1510083.0</v>
      </c>
      <c r="FV7" s="11">
        <v>3751597.0</v>
      </c>
      <c r="FW7" s="11">
        <v>2422307.0</v>
      </c>
      <c r="FX7" s="11">
        <v>2539801.0</v>
      </c>
      <c r="FY7" s="11">
        <v>1985211.0</v>
      </c>
      <c r="FZ7" s="11">
        <v>2397515.0</v>
      </c>
      <c r="GA7" s="11">
        <v>3307278.0</v>
      </c>
      <c r="GB7" s="11">
        <v>3182904.0</v>
      </c>
      <c r="GC7" s="11">
        <v>2694439.0</v>
      </c>
      <c r="GD7" s="11">
        <v>1778358.0</v>
      </c>
      <c r="GE7" s="11">
        <v>3066925.0</v>
      </c>
      <c r="GF7" s="11">
        <v>3421401.0</v>
      </c>
      <c r="GG7" s="11">
        <v>3486848.0</v>
      </c>
      <c r="GH7" s="11">
        <v>2921256.0</v>
      </c>
      <c r="GI7" s="11">
        <v>2049010.0</v>
      </c>
      <c r="GJ7" s="11">
        <v>3797881.0</v>
      </c>
      <c r="GK7" s="11">
        <v>3904773.0</v>
      </c>
      <c r="GL7" s="11">
        <v>2273421.0</v>
      </c>
      <c r="GM7" s="11">
        <v>2672408.0</v>
      </c>
      <c r="GN7" s="11">
        <v>2249190.0</v>
      </c>
      <c r="GO7" s="11">
        <v>3748774.0</v>
      </c>
      <c r="GP7" s="11">
        <v>2407708.0</v>
      </c>
      <c r="GQ7" s="11">
        <v>2376698.0</v>
      </c>
      <c r="GR7" s="11">
        <v>2441759.0</v>
      </c>
      <c r="GS7" s="11">
        <v>2431312.0</v>
      </c>
      <c r="GT7" s="11">
        <v>2658155.0</v>
      </c>
      <c r="GU7" s="11">
        <v>3070998.0</v>
      </c>
      <c r="GV7" s="11">
        <v>2907480.0</v>
      </c>
      <c r="GW7" s="11">
        <v>1698582.0</v>
      </c>
      <c r="GX7" s="11">
        <v>5196769.0</v>
      </c>
      <c r="GY7" s="11">
        <v>1827896.0</v>
      </c>
      <c r="GZ7" s="11">
        <v>2077456.0</v>
      </c>
      <c r="HA7" s="11">
        <v>2731919.0</v>
      </c>
      <c r="HB7" s="11">
        <v>2801139.0</v>
      </c>
      <c r="HC7" s="11">
        <v>2864731.0</v>
      </c>
      <c r="HD7" s="11">
        <v>2497656.0</v>
      </c>
      <c r="HE7" s="11">
        <v>2299667.0</v>
      </c>
      <c r="HF7" s="11">
        <v>2054593.0</v>
      </c>
      <c r="HG7" s="11">
        <v>2419823.0</v>
      </c>
      <c r="HH7" s="11">
        <v>3142788.0</v>
      </c>
      <c r="HI7" s="11">
        <v>4258034.0</v>
      </c>
      <c r="HJ7" s="11">
        <v>1580152.0</v>
      </c>
      <c r="HK7" s="11">
        <v>2265496.0</v>
      </c>
      <c r="HL7" s="11">
        <v>3513664.0</v>
      </c>
      <c r="HM7" s="11">
        <v>2876065.0</v>
      </c>
      <c r="HN7" s="11">
        <v>2710077.0</v>
      </c>
      <c r="HO7" s="11">
        <v>1918657.0</v>
      </c>
      <c r="HP7" s="11">
        <v>3853717.0</v>
      </c>
      <c r="HQ7" s="11">
        <v>1774423.0</v>
      </c>
      <c r="HR7" s="11">
        <v>3857136.0</v>
      </c>
      <c r="HS7" s="11">
        <v>1167363.0</v>
      </c>
      <c r="HT7" s="11">
        <v>3585134.0</v>
      </c>
      <c r="HU7" s="11">
        <v>2657667.0</v>
      </c>
      <c r="HV7" s="11">
        <v>3033771.0</v>
      </c>
      <c r="HW7" s="11">
        <v>2817857.0</v>
      </c>
      <c r="HX7" s="11">
        <v>3912374.0</v>
      </c>
      <c r="HY7" s="11">
        <v>2809539.0</v>
      </c>
      <c r="HZ7" s="11">
        <v>3502866.0</v>
      </c>
      <c r="IA7" s="11">
        <v>1383535.0</v>
      </c>
      <c r="IB7" s="11">
        <v>3374918.0</v>
      </c>
      <c r="IC7" s="11">
        <v>2026583.0</v>
      </c>
      <c r="ID7" s="11">
        <v>1040424.0</v>
      </c>
      <c r="IE7" s="11">
        <v>4075040.0</v>
      </c>
      <c r="IF7" s="11">
        <v>2417467.0</v>
      </c>
      <c r="IG7" s="11">
        <v>2479635.0</v>
      </c>
      <c r="IH7" s="11">
        <v>1946808.0</v>
      </c>
      <c r="II7" s="11">
        <v>3981026.0</v>
      </c>
      <c r="IJ7" s="11">
        <v>3578705.0</v>
      </c>
      <c r="IK7" s="11">
        <v>3164341.0</v>
      </c>
      <c r="IL7" s="11">
        <v>2806407.0</v>
      </c>
      <c r="IM7" s="11">
        <v>2099719.0</v>
      </c>
      <c r="IN7" s="11">
        <v>1905446.0</v>
      </c>
      <c r="IO7" s="11">
        <v>3713118.0</v>
      </c>
      <c r="IP7" s="11">
        <v>2775849.0</v>
      </c>
      <c r="IQ7" s="11">
        <v>2654799.0</v>
      </c>
      <c r="IR7" s="11">
        <v>2583677.0</v>
      </c>
      <c r="IS7" s="11">
        <v>3022165.0</v>
      </c>
      <c r="IT7" s="11">
        <v>2909536.0</v>
      </c>
      <c r="IU7" s="11">
        <v>3324682.0</v>
      </c>
      <c r="IV7" s="11">
        <v>2677082.0</v>
      </c>
      <c r="IW7" s="11">
        <v>1600848.0</v>
      </c>
      <c r="IX7" s="11">
        <v>1717041.0</v>
      </c>
      <c r="IY7" s="11">
        <v>4040625.0</v>
      </c>
      <c r="IZ7" s="11">
        <v>1535252.0</v>
      </c>
      <c r="JA7" s="11">
        <v>3694825.0</v>
      </c>
      <c r="JB7" s="11">
        <v>2027990.0</v>
      </c>
      <c r="JC7" s="11">
        <v>3420368.0</v>
      </c>
      <c r="JD7" s="11">
        <v>1881002.0</v>
      </c>
      <c r="JE7" s="11">
        <v>3383779.0</v>
      </c>
      <c r="JF7" s="11">
        <v>2902101.0</v>
      </c>
      <c r="JG7" s="11">
        <v>3865569.0</v>
      </c>
      <c r="JH7" s="11">
        <v>889021.0</v>
      </c>
      <c r="JI7" s="11">
        <v>2297206.0</v>
      </c>
      <c r="JJ7" s="11">
        <v>2498088.0</v>
      </c>
      <c r="JK7" s="11">
        <v>4063827.0</v>
      </c>
      <c r="JL7" s="11">
        <v>2836069.0</v>
      </c>
      <c r="JM7" s="11">
        <v>1977330.0</v>
      </c>
      <c r="JN7" s="11">
        <v>2548899.0</v>
      </c>
      <c r="JO7" s="11">
        <v>3878483.0</v>
      </c>
      <c r="JP7" s="11">
        <v>2087525.0</v>
      </c>
      <c r="JQ7" s="11">
        <v>2529789.0</v>
      </c>
      <c r="JR7" s="11">
        <v>3028211.0</v>
      </c>
      <c r="JS7" s="11">
        <v>3258512.0</v>
      </c>
      <c r="JT7" s="11">
        <v>3045361.0</v>
      </c>
      <c r="JU7" s="11">
        <v>2278353.0</v>
      </c>
      <c r="JV7" s="11">
        <v>1554618.0</v>
      </c>
      <c r="JW7" s="11">
        <v>1008630.0</v>
      </c>
      <c r="JX7" s="11">
        <v>3004647.0</v>
      </c>
      <c r="JY7" s="11">
        <v>4488878.0</v>
      </c>
      <c r="JZ7" s="11">
        <v>2296854.0</v>
      </c>
      <c r="KA7" s="11">
        <v>2026241.0</v>
      </c>
      <c r="KB7" s="11">
        <v>3723593.0</v>
      </c>
      <c r="KC7" s="11">
        <v>2982769.0</v>
      </c>
      <c r="KD7" s="11">
        <v>3182728.0</v>
      </c>
      <c r="KE7" s="11">
        <v>2260499.0</v>
      </c>
      <c r="KF7" s="11">
        <v>3482239.0</v>
      </c>
      <c r="KG7" s="11">
        <v>3845155.0</v>
      </c>
      <c r="KH7" s="11">
        <v>2040450.0</v>
      </c>
      <c r="KI7" s="11">
        <v>2061181.0</v>
      </c>
      <c r="KJ7" s="11">
        <v>2002730.0</v>
      </c>
      <c r="KK7" s="11">
        <v>4344276.0</v>
      </c>
      <c r="KL7" s="11">
        <v>1692406.0</v>
      </c>
      <c r="KM7" s="11">
        <v>3038398.0</v>
      </c>
      <c r="KN7" s="11">
        <v>3794075.0</v>
      </c>
      <c r="KO7" s="11">
        <v>3343916.0</v>
      </c>
      <c r="KP7" s="11">
        <v>3210243.0</v>
      </c>
      <c r="KQ7" s="11">
        <v>3019441.0</v>
      </c>
      <c r="KR7" s="11">
        <v>2300924.0</v>
      </c>
      <c r="KS7" s="11">
        <v>2971617.0</v>
      </c>
      <c r="KT7" s="11">
        <v>1980893.0</v>
      </c>
      <c r="KU7" s="11">
        <v>3258213.0</v>
      </c>
      <c r="KV7" s="11">
        <v>1804625.0</v>
      </c>
      <c r="KW7" s="11">
        <v>2780448.0</v>
      </c>
      <c r="KX7" s="11">
        <v>2856553.0</v>
      </c>
      <c r="KY7" s="11">
        <v>2021800.0</v>
      </c>
      <c r="KZ7" s="11">
        <v>2581505.0</v>
      </c>
      <c r="LA7" s="11">
        <v>2862765.0</v>
      </c>
      <c r="LB7" s="11">
        <v>3460142.0</v>
      </c>
      <c r="LC7" s="11">
        <v>3453835.0</v>
      </c>
      <c r="LD7" s="11">
        <v>2412004.0</v>
      </c>
      <c r="LE7" s="11">
        <v>1877595.0</v>
      </c>
      <c r="LF7" s="11">
        <v>3017213.0</v>
      </c>
      <c r="LG7" s="11">
        <v>3467548.0</v>
      </c>
      <c r="LH7" s="11">
        <v>2897721.0</v>
      </c>
      <c r="LI7" s="11">
        <v>2103269.0</v>
      </c>
      <c r="LJ7" s="11">
        <v>3080366.0</v>
      </c>
      <c r="LK7" s="11">
        <v>2965921.0</v>
      </c>
      <c r="LL7" s="11">
        <v>3315574.0</v>
      </c>
      <c r="LM7" s="11">
        <v>2684591.0</v>
      </c>
      <c r="LN7" s="11">
        <v>2460963.0</v>
      </c>
      <c r="LO7" s="11">
        <v>2104453.0</v>
      </c>
      <c r="LP7" s="11">
        <v>3026019.0</v>
      </c>
      <c r="LQ7" s="11">
        <v>2733984.0</v>
      </c>
      <c r="LR7" s="11">
        <v>3847739.0</v>
      </c>
      <c r="LS7" s="11">
        <v>3902176.0</v>
      </c>
      <c r="LT7" s="11">
        <v>3763951.0</v>
      </c>
      <c r="LU7" s="11">
        <v>2008409.0</v>
      </c>
      <c r="LV7" s="11">
        <v>2330456.0</v>
      </c>
      <c r="LW7" s="11">
        <v>2405431.0</v>
      </c>
      <c r="LX7" s="11">
        <v>3597715.0</v>
      </c>
      <c r="LY7" s="11">
        <v>2673331.0</v>
      </c>
      <c r="LZ7" s="11">
        <v>4641614.0</v>
      </c>
      <c r="MA7" s="11">
        <v>1265020.0</v>
      </c>
      <c r="MB7" s="11">
        <v>3915931.0</v>
      </c>
      <c r="MC7" s="11">
        <v>2296557.0</v>
      </c>
      <c r="MD7" s="11">
        <v>2832239.0</v>
      </c>
      <c r="ME7" s="11">
        <v>2878464.0</v>
      </c>
      <c r="MF7" s="11">
        <v>2764287.0</v>
      </c>
      <c r="MG7" s="11">
        <v>5034563.0</v>
      </c>
      <c r="MH7" s="11">
        <v>2079318.0</v>
      </c>
      <c r="MI7" s="11">
        <v>2044961.0</v>
      </c>
      <c r="MJ7" s="11">
        <v>1955569.0</v>
      </c>
      <c r="MK7" s="11">
        <v>2558042.0</v>
      </c>
      <c r="ML7" s="11">
        <v>1632290.0</v>
      </c>
      <c r="MM7" s="11">
        <v>3111265.0</v>
      </c>
      <c r="MN7" s="11">
        <v>1816149.0</v>
      </c>
      <c r="MO7" s="11">
        <v>2056094.0</v>
      </c>
      <c r="MP7" s="11">
        <v>3188443.0</v>
      </c>
      <c r="MQ7" s="11">
        <v>3112630.0</v>
      </c>
      <c r="MR7" s="11">
        <v>2914597.0</v>
      </c>
      <c r="MS7" s="11">
        <v>4166519.0</v>
      </c>
      <c r="MT7" s="11">
        <v>2916859.0</v>
      </c>
      <c r="MU7" s="11">
        <v>1637977.0</v>
      </c>
      <c r="MV7" s="11">
        <v>3575701.0</v>
      </c>
      <c r="MW7" s="11">
        <v>3229497.0</v>
      </c>
      <c r="MX7" s="11">
        <v>3128668.0</v>
      </c>
      <c r="MY7" s="11">
        <v>2881727.0</v>
      </c>
      <c r="MZ7" s="11">
        <v>2237606.0</v>
      </c>
      <c r="NA7" s="11">
        <v>3215697.0</v>
      </c>
      <c r="NB7" s="12">
        <v>2646840.0</v>
      </c>
    </row>
    <row r="8">
      <c r="A8" s="8">
        <v>2.0</v>
      </c>
      <c r="B8" s="9" t="s">
        <v>369</v>
      </c>
      <c r="C8" s="10">
        <v>299525.0</v>
      </c>
      <c r="D8" s="11">
        <v>0.0</v>
      </c>
      <c r="E8" s="11">
        <v>0.0</v>
      </c>
      <c r="F8" s="11">
        <v>320122.0</v>
      </c>
      <c r="G8" s="11">
        <v>0.0</v>
      </c>
      <c r="H8" s="11">
        <v>70955.0</v>
      </c>
      <c r="I8" s="11">
        <v>0.0</v>
      </c>
      <c r="J8" s="11">
        <v>0.0</v>
      </c>
      <c r="K8" s="11">
        <v>2005.0</v>
      </c>
      <c r="L8" s="11">
        <v>0.0</v>
      </c>
      <c r="M8" s="11">
        <v>5872.0</v>
      </c>
      <c r="N8" s="11">
        <v>0.0</v>
      </c>
      <c r="O8" s="11">
        <v>0.0</v>
      </c>
      <c r="P8" s="11">
        <v>620800.0</v>
      </c>
      <c r="Q8" s="11">
        <v>0.0</v>
      </c>
      <c r="R8" s="11">
        <v>0.0</v>
      </c>
      <c r="S8" s="11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1">
        <v>0.0</v>
      </c>
      <c r="AB8" s="11">
        <v>0.0</v>
      </c>
      <c r="AC8" s="11">
        <v>6603.0</v>
      </c>
      <c r="AD8" s="11">
        <v>11047.0</v>
      </c>
      <c r="AE8" s="11">
        <v>300433.0</v>
      </c>
      <c r="AF8" s="11">
        <v>0.0</v>
      </c>
      <c r="AG8" s="11">
        <v>0.0</v>
      </c>
      <c r="AH8" s="11">
        <v>0.0</v>
      </c>
      <c r="AI8" s="11">
        <v>0.0</v>
      </c>
      <c r="AJ8" s="11">
        <v>4500.0</v>
      </c>
      <c r="AK8" s="11">
        <v>73004.0</v>
      </c>
      <c r="AL8" s="11">
        <v>0.0</v>
      </c>
      <c r="AM8" s="11">
        <v>0.0</v>
      </c>
      <c r="AN8" s="11">
        <v>0.0</v>
      </c>
      <c r="AO8" s="11">
        <v>416651.0</v>
      </c>
      <c r="AP8" s="11">
        <v>0.0</v>
      </c>
      <c r="AQ8" s="11">
        <v>105315.0</v>
      </c>
      <c r="AR8" s="11">
        <v>0.0</v>
      </c>
      <c r="AS8" s="11">
        <v>0.0</v>
      </c>
      <c r="AT8" s="11">
        <v>0.0</v>
      </c>
      <c r="AU8" s="11">
        <v>0.0</v>
      </c>
      <c r="AV8" s="11">
        <v>928396.0</v>
      </c>
      <c r="AW8" s="11">
        <v>0.0</v>
      </c>
      <c r="AX8" s="11">
        <v>165864.0</v>
      </c>
      <c r="AY8" s="11">
        <v>0.0</v>
      </c>
      <c r="AZ8" s="11">
        <v>0.0</v>
      </c>
      <c r="BA8" s="11">
        <v>0.0</v>
      </c>
      <c r="BB8" s="11">
        <v>263895.0</v>
      </c>
      <c r="BC8" s="11">
        <v>0.0</v>
      </c>
      <c r="BD8" s="11">
        <v>0.0</v>
      </c>
      <c r="BE8" s="11">
        <v>0.0</v>
      </c>
      <c r="BF8" s="11">
        <v>0.0</v>
      </c>
      <c r="BG8" s="11">
        <v>0.0</v>
      </c>
      <c r="BH8" s="11">
        <v>0.0</v>
      </c>
      <c r="BI8" s="11">
        <v>106500.0</v>
      </c>
      <c r="BJ8" s="11">
        <v>0.0</v>
      </c>
      <c r="BK8" s="11">
        <v>0.0</v>
      </c>
      <c r="BL8" s="11">
        <v>0.0</v>
      </c>
      <c r="BM8" s="11">
        <v>0.0</v>
      </c>
      <c r="BN8" s="11">
        <v>0.0</v>
      </c>
      <c r="BO8" s="11">
        <v>0.0</v>
      </c>
      <c r="BP8" s="11">
        <v>0.0</v>
      </c>
      <c r="BQ8" s="11">
        <v>0.0</v>
      </c>
      <c r="BR8" s="11">
        <v>72807.0</v>
      </c>
      <c r="BS8" s="11">
        <v>0.0</v>
      </c>
      <c r="BT8" s="11">
        <v>0.0</v>
      </c>
      <c r="BU8" s="11">
        <v>0.0</v>
      </c>
      <c r="BV8" s="11">
        <v>0.0</v>
      </c>
      <c r="BW8" s="11">
        <v>408404.0</v>
      </c>
      <c r="BX8" s="11">
        <v>0.0</v>
      </c>
      <c r="BY8" s="11">
        <v>0.0</v>
      </c>
      <c r="BZ8" s="11">
        <v>0.0</v>
      </c>
      <c r="CA8" s="11">
        <v>298972.0</v>
      </c>
      <c r="CB8" s="11">
        <v>0.0</v>
      </c>
      <c r="CC8" s="11">
        <v>296068.0</v>
      </c>
      <c r="CD8" s="11">
        <v>157271.0</v>
      </c>
      <c r="CE8" s="11">
        <v>281050.0</v>
      </c>
      <c r="CF8" s="11">
        <v>0.0</v>
      </c>
      <c r="CG8" s="11">
        <v>6143.0</v>
      </c>
      <c r="CH8" s="11">
        <v>0.0</v>
      </c>
      <c r="CI8" s="11">
        <v>5887.0</v>
      </c>
      <c r="CJ8" s="11">
        <v>14806.0</v>
      </c>
      <c r="CK8" s="11">
        <v>428678.0</v>
      </c>
      <c r="CL8" s="11">
        <v>3246821.0</v>
      </c>
      <c r="CM8" s="11">
        <v>3475043.0</v>
      </c>
      <c r="CN8" s="11">
        <v>1925387.0</v>
      </c>
      <c r="CO8" s="11">
        <v>3785484.0</v>
      </c>
      <c r="CP8" s="11">
        <v>2326625.0</v>
      </c>
      <c r="CQ8" s="11">
        <v>2365841.0</v>
      </c>
      <c r="CR8" s="11">
        <v>2900915.0</v>
      </c>
      <c r="CS8" s="11">
        <v>2446400.0</v>
      </c>
      <c r="CT8" s="11">
        <v>2204209.0</v>
      </c>
      <c r="CU8" s="11">
        <v>2750095.0</v>
      </c>
      <c r="CV8" s="11">
        <v>3041734.0</v>
      </c>
      <c r="CW8" s="11">
        <v>2979309.0</v>
      </c>
      <c r="CX8" s="11">
        <v>3496720.0</v>
      </c>
      <c r="CY8" s="11">
        <v>2706575.0</v>
      </c>
      <c r="CZ8" s="11">
        <v>3073084.0</v>
      </c>
      <c r="DA8" s="11">
        <v>2983898.0</v>
      </c>
      <c r="DB8" s="11">
        <v>3059502.0</v>
      </c>
      <c r="DC8" s="11">
        <v>2568867.0</v>
      </c>
      <c r="DD8" s="11">
        <v>3652154.0</v>
      </c>
      <c r="DE8" s="11">
        <v>2401260.0</v>
      </c>
      <c r="DF8" s="11">
        <v>2221890.0</v>
      </c>
      <c r="DG8" s="11">
        <v>2483948.0</v>
      </c>
      <c r="DH8" s="11">
        <v>2434269.0</v>
      </c>
      <c r="DI8" s="11">
        <v>2429038.0</v>
      </c>
      <c r="DJ8" s="11">
        <v>2287272.0</v>
      </c>
      <c r="DK8" s="11">
        <v>2901567.0</v>
      </c>
      <c r="DL8" s="11">
        <v>3959167.0</v>
      </c>
      <c r="DM8" s="11">
        <v>2322613.0</v>
      </c>
      <c r="DN8" s="11">
        <v>3664385.0</v>
      </c>
      <c r="DO8" s="11">
        <v>3492820.0</v>
      </c>
      <c r="DP8" s="11">
        <v>3498761.0</v>
      </c>
      <c r="DQ8" s="11">
        <v>1852492.0</v>
      </c>
      <c r="DR8" s="11">
        <v>2260473.0</v>
      </c>
      <c r="DS8" s="11">
        <v>2953417.0</v>
      </c>
      <c r="DT8" s="11">
        <v>4041171.0</v>
      </c>
      <c r="DU8" s="11">
        <v>1870947.0</v>
      </c>
      <c r="DV8" s="11">
        <v>2608575.0</v>
      </c>
      <c r="DW8" s="11">
        <v>1885251.0</v>
      </c>
      <c r="DX8" s="11">
        <v>4016585.0</v>
      </c>
      <c r="DY8" s="11">
        <v>2808594.0</v>
      </c>
      <c r="DZ8" s="11">
        <v>2074506.0</v>
      </c>
      <c r="EA8" s="11">
        <v>2620079.0</v>
      </c>
      <c r="EB8" s="11">
        <v>1736472.0</v>
      </c>
      <c r="EC8" s="11">
        <v>2553797.0</v>
      </c>
      <c r="ED8" s="11">
        <v>2905167.0</v>
      </c>
      <c r="EE8" s="11">
        <v>2428556.0</v>
      </c>
      <c r="EF8" s="11">
        <v>2355361.0</v>
      </c>
      <c r="EG8" s="11">
        <v>2921986.0</v>
      </c>
      <c r="EH8" s="11">
        <v>2074937.0</v>
      </c>
      <c r="EI8" s="11">
        <v>3661373.0</v>
      </c>
      <c r="EJ8" s="11">
        <v>3287108.0</v>
      </c>
      <c r="EK8" s="11">
        <v>2773228.0</v>
      </c>
      <c r="EL8" s="11">
        <v>2217196.0</v>
      </c>
      <c r="EM8" s="11">
        <v>1729856.0</v>
      </c>
      <c r="EN8" s="11">
        <v>2433677.0</v>
      </c>
      <c r="EO8" s="11">
        <v>2847964.0</v>
      </c>
      <c r="EP8" s="11">
        <v>2733900.0</v>
      </c>
      <c r="EQ8" s="11">
        <v>2774993.0</v>
      </c>
      <c r="ER8" s="11">
        <v>2247045.0</v>
      </c>
      <c r="ES8" s="11">
        <v>1207978.0</v>
      </c>
      <c r="ET8" s="11">
        <v>1967669.0</v>
      </c>
      <c r="EU8" s="11">
        <v>1195349.0</v>
      </c>
      <c r="EV8" s="11">
        <v>2837631.0</v>
      </c>
      <c r="EW8" s="11">
        <v>3667963.0</v>
      </c>
      <c r="EX8" s="11">
        <v>3914777.0</v>
      </c>
      <c r="EY8" s="11">
        <v>2185133.0</v>
      </c>
      <c r="EZ8" s="11">
        <v>2480670.0</v>
      </c>
      <c r="FA8" s="11">
        <v>4392204.0</v>
      </c>
      <c r="FB8" s="11">
        <v>1455087.0</v>
      </c>
      <c r="FC8" s="11">
        <v>1555650.0</v>
      </c>
      <c r="FD8" s="11">
        <v>947747.0</v>
      </c>
      <c r="FE8" s="11">
        <v>2905196.0</v>
      </c>
      <c r="FF8" s="11">
        <v>2252729.0</v>
      </c>
      <c r="FG8" s="11">
        <v>862361.0</v>
      </c>
      <c r="FH8" s="11">
        <v>3442821.0</v>
      </c>
      <c r="FI8" s="11">
        <v>2590519.0</v>
      </c>
      <c r="FJ8" s="11">
        <v>3675924.0</v>
      </c>
      <c r="FK8" s="11">
        <v>1800765.0</v>
      </c>
      <c r="FL8" s="11">
        <v>2300845.0</v>
      </c>
      <c r="FM8" s="11">
        <v>3589853.0</v>
      </c>
      <c r="FN8" s="11">
        <v>1876507.0</v>
      </c>
      <c r="FO8" s="11">
        <v>2340076.0</v>
      </c>
      <c r="FP8" s="11">
        <v>2281430.0</v>
      </c>
      <c r="FQ8" s="11">
        <v>3538066.0</v>
      </c>
      <c r="FR8" s="11">
        <v>1738045.0</v>
      </c>
      <c r="FS8" s="11">
        <v>2328465.0</v>
      </c>
      <c r="FT8" s="11">
        <v>3799910.0</v>
      </c>
      <c r="FU8" s="11">
        <v>2492177.0</v>
      </c>
      <c r="FV8" s="11">
        <v>2431981.0</v>
      </c>
      <c r="FW8" s="11">
        <v>2887558.0</v>
      </c>
      <c r="FX8" s="11">
        <v>2936258.0</v>
      </c>
      <c r="FY8" s="11">
        <v>3019224.0</v>
      </c>
      <c r="FZ8" s="11">
        <v>1570917.0</v>
      </c>
      <c r="GA8" s="11">
        <v>2792294.0</v>
      </c>
      <c r="GB8" s="11">
        <v>2334193.0</v>
      </c>
      <c r="GC8" s="11">
        <v>3702554.0</v>
      </c>
      <c r="GD8" s="11">
        <v>1525413.0</v>
      </c>
      <c r="GE8" s="11">
        <v>3093888.0</v>
      </c>
      <c r="GF8" s="11">
        <v>1902546.0</v>
      </c>
      <c r="GG8" s="11">
        <v>2924999.0</v>
      </c>
      <c r="GH8" s="11">
        <v>3506509.0</v>
      </c>
      <c r="GI8" s="11">
        <v>3002390.0</v>
      </c>
      <c r="GJ8" s="11">
        <v>2569099.0</v>
      </c>
      <c r="GK8" s="11">
        <v>1204964.0</v>
      </c>
      <c r="GL8" s="11">
        <v>3457579.0</v>
      </c>
      <c r="GM8" s="11">
        <v>3115059.0</v>
      </c>
      <c r="GN8" s="11">
        <v>3427345.0</v>
      </c>
      <c r="GO8" s="11">
        <v>2063111.0</v>
      </c>
      <c r="GP8" s="11">
        <v>3396629.0</v>
      </c>
      <c r="GQ8" s="11">
        <v>2493244.0</v>
      </c>
      <c r="GR8" s="11">
        <v>2800638.0</v>
      </c>
      <c r="GS8" s="11">
        <v>3873468.0</v>
      </c>
      <c r="GT8" s="11">
        <v>3032199.0</v>
      </c>
      <c r="GU8" s="11">
        <v>1807715.0</v>
      </c>
      <c r="GV8" s="11">
        <v>2500610.0</v>
      </c>
      <c r="GW8" s="11">
        <v>3728639.0</v>
      </c>
      <c r="GX8" s="11">
        <v>1319717.0</v>
      </c>
      <c r="GY8" s="11">
        <v>2922391.0</v>
      </c>
      <c r="GZ8" s="11">
        <v>3647979.0</v>
      </c>
      <c r="HA8" s="11">
        <v>2567203.0</v>
      </c>
      <c r="HB8" s="11">
        <v>3841530.0</v>
      </c>
      <c r="HC8" s="11">
        <v>2384923.0</v>
      </c>
      <c r="HD8" s="11">
        <v>2025430.0</v>
      </c>
      <c r="HE8" s="11">
        <v>2066685.0</v>
      </c>
      <c r="HF8" s="11">
        <v>2359871.0</v>
      </c>
      <c r="HG8" s="11">
        <v>1809336.0</v>
      </c>
      <c r="HH8" s="11">
        <v>3005678.0</v>
      </c>
      <c r="HI8" s="11">
        <v>2961538.0</v>
      </c>
      <c r="HJ8" s="11">
        <v>2944128.0</v>
      </c>
      <c r="HK8" s="11">
        <v>3179946.0</v>
      </c>
      <c r="HL8" s="11">
        <v>2784082.0</v>
      </c>
      <c r="HM8" s="11">
        <v>2295087.0</v>
      </c>
      <c r="HN8" s="11">
        <v>2908873.0</v>
      </c>
      <c r="HO8" s="11">
        <v>2542768.0</v>
      </c>
      <c r="HP8" s="11">
        <v>2209601.0</v>
      </c>
      <c r="HQ8" s="11">
        <v>2863327.0</v>
      </c>
      <c r="HR8" s="11">
        <v>2725026.0</v>
      </c>
      <c r="HS8" s="11">
        <v>5312152.0</v>
      </c>
      <c r="HT8" s="11">
        <v>1537483.0</v>
      </c>
      <c r="HU8" s="11">
        <v>1452879.0</v>
      </c>
      <c r="HV8" s="11">
        <v>3799436.0</v>
      </c>
      <c r="HW8" s="11">
        <v>2807601.0</v>
      </c>
      <c r="HX8" s="11">
        <v>2463073.0</v>
      </c>
      <c r="HY8" s="11">
        <v>1671675.0</v>
      </c>
      <c r="HZ8" s="11">
        <v>3760873.0</v>
      </c>
      <c r="IA8" s="11">
        <v>2911952.0</v>
      </c>
      <c r="IB8" s="11">
        <v>3735948.0</v>
      </c>
      <c r="IC8" s="11">
        <v>1838425.0</v>
      </c>
      <c r="ID8" s="11">
        <v>3689815.0</v>
      </c>
      <c r="IE8" s="11">
        <v>3163409.0</v>
      </c>
      <c r="IF8" s="11">
        <v>2511893.0</v>
      </c>
      <c r="IG8" s="11">
        <v>1457447.0</v>
      </c>
      <c r="IH8" s="11">
        <v>2872052.0</v>
      </c>
      <c r="II8" s="11">
        <v>3944224.0</v>
      </c>
      <c r="IJ8" s="11">
        <v>2446560.0</v>
      </c>
      <c r="IK8" s="11">
        <v>1580205.0</v>
      </c>
      <c r="IL8" s="11">
        <v>2728105.0</v>
      </c>
      <c r="IM8" s="11">
        <v>2648266.0</v>
      </c>
      <c r="IN8" s="11">
        <v>3628771.0</v>
      </c>
      <c r="IO8" s="11">
        <v>2173753.0</v>
      </c>
      <c r="IP8" s="11">
        <v>3920122.0</v>
      </c>
      <c r="IQ8" s="11">
        <v>2630896.0</v>
      </c>
      <c r="IR8" s="11">
        <v>2599732.0</v>
      </c>
      <c r="IS8" s="11">
        <v>2801055.0</v>
      </c>
      <c r="IT8" s="11">
        <v>1849573.0</v>
      </c>
      <c r="IU8" s="11">
        <v>2720503.0</v>
      </c>
      <c r="IV8" s="11">
        <v>2435677.0</v>
      </c>
      <c r="IW8" s="11">
        <v>3431811.0</v>
      </c>
      <c r="IX8" s="11">
        <v>2684708.0</v>
      </c>
      <c r="IY8" s="11">
        <v>2642858.0</v>
      </c>
      <c r="IZ8" s="11">
        <v>3096798.0</v>
      </c>
      <c r="JA8" s="11">
        <v>2425419.0</v>
      </c>
      <c r="JB8" s="11">
        <v>1676014.0</v>
      </c>
      <c r="JC8" s="11">
        <v>2967440.0</v>
      </c>
      <c r="JD8" s="11">
        <v>3114699.0</v>
      </c>
      <c r="JE8" s="11">
        <v>2830855.0</v>
      </c>
      <c r="JF8" s="11">
        <v>3026146.0</v>
      </c>
      <c r="JG8" s="11">
        <v>2926132.0</v>
      </c>
      <c r="JH8" s="11">
        <v>3275639.0</v>
      </c>
      <c r="JI8" s="11">
        <v>2498983.0</v>
      </c>
      <c r="JJ8" s="11">
        <v>2609241.0</v>
      </c>
      <c r="JK8" s="11">
        <v>3514786.0</v>
      </c>
      <c r="JL8" s="11">
        <v>3234577.0</v>
      </c>
      <c r="JM8" s="11">
        <v>2870420.0</v>
      </c>
      <c r="JN8" s="11">
        <v>2122645.0</v>
      </c>
      <c r="JO8" s="11">
        <v>2628493.0</v>
      </c>
      <c r="JP8" s="11">
        <v>3512004.0</v>
      </c>
      <c r="JQ8" s="11">
        <v>2086479.0</v>
      </c>
      <c r="JR8" s="11">
        <v>2910090.0</v>
      </c>
      <c r="JS8" s="11">
        <v>2703769.0</v>
      </c>
      <c r="JT8" s="11">
        <v>3161967.0</v>
      </c>
      <c r="JU8" s="11">
        <v>2942079.0</v>
      </c>
      <c r="JV8" s="11">
        <v>2388240.0</v>
      </c>
      <c r="JW8" s="11">
        <v>4185948.0</v>
      </c>
      <c r="JX8" s="11">
        <v>1859699.0</v>
      </c>
      <c r="JY8" s="11">
        <v>3300002.0</v>
      </c>
      <c r="JZ8" s="11">
        <v>1205290.0</v>
      </c>
      <c r="KA8" s="11">
        <v>4009642.0</v>
      </c>
      <c r="KB8" s="11">
        <v>3192707.0</v>
      </c>
      <c r="KC8" s="11">
        <v>2439771.0</v>
      </c>
      <c r="KD8" s="11">
        <v>2357064.0</v>
      </c>
      <c r="KE8" s="11">
        <v>2454659.0</v>
      </c>
      <c r="KF8" s="11">
        <v>2785956.0</v>
      </c>
      <c r="KG8" s="11">
        <v>2673237.0</v>
      </c>
      <c r="KH8" s="11">
        <v>3973199.0</v>
      </c>
      <c r="KI8" s="11">
        <v>4118710.0</v>
      </c>
      <c r="KJ8" s="11">
        <v>2117432.0</v>
      </c>
      <c r="KK8" s="11">
        <v>3231413.0</v>
      </c>
      <c r="KL8" s="11">
        <v>1912746.0</v>
      </c>
      <c r="KM8" s="11">
        <v>2792839.0</v>
      </c>
      <c r="KN8" s="11">
        <v>3250007.0</v>
      </c>
      <c r="KO8" s="11">
        <v>2514536.0</v>
      </c>
      <c r="KP8" s="11">
        <v>2565364.0</v>
      </c>
      <c r="KQ8" s="11">
        <v>3018983.0</v>
      </c>
      <c r="KR8" s="11">
        <v>2073057.0</v>
      </c>
      <c r="KS8" s="11">
        <v>1825592.0</v>
      </c>
      <c r="KT8" s="11">
        <v>2928228.0</v>
      </c>
      <c r="KU8" s="11">
        <v>3526465.0</v>
      </c>
      <c r="KV8" s="11">
        <v>2985460.0</v>
      </c>
      <c r="KW8" s="11">
        <v>1679650.0</v>
      </c>
      <c r="KX8" s="11">
        <v>2728044.0</v>
      </c>
      <c r="KY8" s="11">
        <v>2518201.0</v>
      </c>
      <c r="KZ8" s="11">
        <v>3416672.0</v>
      </c>
      <c r="LA8" s="11">
        <v>3278506.0</v>
      </c>
      <c r="LB8" s="11">
        <v>1586134.0</v>
      </c>
      <c r="LC8" s="11">
        <v>2556535.0</v>
      </c>
      <c r="LD8" s="11">
        <v>3583234.0</v>
      </c>
      <c r="LE8" s="11">
        <v>2887453.0</v>
      </c>
      <c r="LF8" s="11">
        <v>2252348.0</v>
      </c>
      <c r="LG8" s="11">
        <v>3150952.0</v>
      </c>
      <c r="LH8" s="11">
        <v>1352990.0</v>
      </c>
      <c r="LI8" s="11">
        <v>3992179.0</v>
      </c>
      <c r="LJ8" s="11">
        <v>4257547.0</v>
      </c>
      <c r="LK8" s="11">
        <v>2353590.0</v>
      </c>
      <c r="LL8" s="11">
        <v>4588662.0</v>
      </c>
      <c r="LM8" s="11">
        <v>1720288.0</v>
      </c>
      <c r="LN8" s="11">
        <v>1918397.0</v>
      </c>
      <c r="LO8" s="11">
        <v>1888347.0</v>
      </c>
      <c r="LP8" s="11">
        <v>2820273.0</v>
      </c>
      <c r="LQ8" s="11">
        <v>3749914.0</v>
      </c>
      <c r="LR8" s="11">
        <v>2742133.0</v>
      </c>
      <c r="LS8" s="11">
        <v>2416151.0</v>
      </c>
      <c r="LT8" s="11">
        <v>1803211.0</v>
      </c>
      <c r="LU8" s="11">
        <v>2984698.0</v>
      </c>
      <c r="LV8" s="11">
        <v>2420761.0</v>
      </c>
      <c r="LW8" s="11">
        <v>3376794.0</v>
      </c>
      <c r="LX8" s="11">
        <v>1577513.0</v>
      </c>
      <c r="LY8" s="11">
        <v>3382749.0</v>
      </c>
      <c r="LZ8" s="11">
        <v>3122079.0</v>
      </c>
      <c r="MA8" s="11">
        <v>2212007.0</v>
      </c>
      <c r="MB8" s="11">
        <v>1488058.0</v>
      </c>
      <c r="MC8" s="11">
        <v>2428359.0</v>
      </c>
      <c r="MD8" s="11">
        <v>1509468.0</v>
      </c>
      <c r="ME8" s="11">
        <v>2201156.0</v>
      </c>
      <c r="MF8" s="11">
        <v>3233479.0</v>
      </c>
      <c r="MG8" s="11">
        <v>2891061.0</v>
      </c>
      <c r="MH8" s="11">
        <v>2404929.0</v>
      </c>
      <c r="MI8" s="11">
        <v>2841959.0</v>
      </c>
      <c r="MJ8" s="11">
        <v>3465890.0</v>
      </c>
      <c r="MK8" s="11">
        <v>2359836.0</v>
      </c>
      <c r="ML8" s="11">
        <v>2441302.0</v>
      </c>
      <c r="MM8" s="11">
        <v>2681652.0</v>
      </c>
      <c r="MN8" s="11">
        <v>2551243.0</v>
      </c>
      <c r="MO8" s="11">
        <v>3436556.0</v>
      </c>
      <c r="MP8" s="11">
        <v>2734840.0</v>
      </c>
      <c r="MQ8" s="11">
        <v>3508428.0</v>
      </c>
      <c r="MR8" s="11">
        <v>3572149.0</v>
      </c>
      <c r="MS8" s="11">
        <v>2694123.0</v>
      </c>
      <c r="MT8" s="11">
        <v>2809498.0</v>
      </c>
      <c r="MU8" s="11">
        <v>3076196.0</v>
      </c>
      <c r="MV8" s="11">
        <v>3100319.0</v>
      </c>
      <c r="MW8" s="11">
        <v>2437620.0</v>
      </c>
      <c r="MX8" s="11">
        <v>2549424.0</v>
      </c>
      <c r="MY8" s="11">
        <v>1694924.0</v>
      </c>
      <c r="MZ8" s="11">
        <v>1803750.0</v>
      </c>
      <c r="NA8" s="11">
        <v>3429222.0</v>
      </c>
      <c r="NB8" s="12">
        <v>2223320.0</v>
      </c>
    </row>
    <row r="9">
      <c r="A9" s="8">
        <v>1.0</v>
      </c>
      <c r="B9" s="9" t="s">
        <v>371</v>
      </c>
      <c r="C9" s="10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93035.0</v>
      </c>
      <c r="R9" s="11">
        <v>0.0</v>
      </c>
      <c r="S9" s="11">
        <v>107153.0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>
        <v>0.0</v>
      </c>
      <c r="AE9" s="11">
        <v>0.0</v>
      </c>
      <c r="AF9" s="11">
        <v>0.0</v>
      </c>
      <c r="AG9" s="11">
        <v>72950.0</v>
      </c>
      <c r="AH9" s="11">
        <v>0.0</v>
      </c>
      <c r="AI9" s="11">
        <v>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v>0.0</v>
      </c>
      <c r="AS9" s="11">
        <v>0.0</v>
      </c>
      <c r="AT9" s="11">
        <v>0.0</v>
      </c>
      <c r="AU9" s="11">
        <v>0.0</v>
      </c>
      <c r="AV9" s="11">
        <v>0.0</v>
      </c>
      <c r="AW9" s="11">
        <v>0.0</v>
      </c>
      <c r="AX9" s="11">
        <v>0.0</v>
      </c>
      <c r="AY9" s="11">
        <v>0.0</v>
      </c>
      <c r="AZ9" s="11">
        <v>0.0</v>
      </c>
      <c r="BA9" s="11">
        <v>0.0</v>
      </c>
      <c r="BB9" s="11">
        <v>0.0</v>
      </c>
      <c r="BC9" s="11">
        <v>0.0</v>
      </c>
      <c r="BD9" s="11">
        <v>0.0</v>
      </c>
      <c r="BE9" s="11">
        <v>71997.0</v>
      </c>
      <c r="BF9" s="11">
        <v>0.0</v>
      </c>
      <c r="BG9" s="11">
        <v>0.0</v>
      </c>
      <c r="BH9" s="11">
        <v>0.0</v>
      </c>
      <c r="BI9" s="11">
        <v>0.0</v>
      </c>
      <c r="BJ9" s="11">
        <v>0.0</v>
      </c>
      <c r="BK9" s="11">
        <v>0.0</v>
      </c>
      <c r="BL9" s="11">
        <v>0.0</v>
      </c>
      <c r="BM9" s="11">
        <v>0.0</v>
      </c>
      <c r="BN9" s="11">
        <v>0.0</v>
      </c>
      <c r="BO9" s="11">
        <v>0.0</v>
      </c>
      <c r="BP9" s="11">
        <v>0.0</v>
      </c>
      <c r="BQ9" s="11">
        <v>0.0</v>
      </c>
      <c r="BR9" s="11">
        <v>0.0</v>
      </c>
      <c r="BS9" s="11">
        <v>0.0</v>
      </c>
      <c r="BT9" s="11">
        <v>0.0</v>
      </c>
      <c r="BU9" s="11">
        <v>0.0</v>
      </c>
      <c r="BV9" s="11">
        <v>0.0</v>
      </c>
      <c r="BW9" s="11">
        <v>0.0</v>
      </c>
      <c r="BX9" s="11">
        <v>0.0</v>
      </c>
      <c r="BY9" s="11">
        <v>0.0</v>
      </c>
      <c r="BZ9" s="11">
        <v>0.0</v>
      </c>
      <c r="CA9" s="11">
        <v>0.0</v>
      </c>
      <c r="CB9" s="11">
        <v>0.0</v>
      </c>
      <c r="CC9" s="11">
        <v>0.0</v>
      </c>
      <c r="CD9" s="11">
        <v>0.0</v>
      </c>
      <c r="CE9" s="11">
        <v>0.0</v>
      </c>
      <c r="CF9" s="11">
        <v>0.0</v>
      </c>
      <c r="CG9" s="11">
        <v>0.0</v>
      </c>
      <c r="CH9" s="11">
        <v>0.0</v>
      </c>
      <c r="CI9" s="11">
        <v>0.0</v>
      </c>
      <c r="CJ9" s="11">
        <v>0.0</v>
      </c>
      <c r="CK9" s="11">
        <v>0.0</v>
      </c>
      <c r="CL9" s="11">
        <v>257527.0</v>
      </c>
      <c r="CM9" s="11">
        <v>484408.0</v>
      </c>
      <c r="CN9" s="11">
        <v>804609.0</v>
      </c>
      <c r="CO9" s="11">
        <v>610936.0</v>
      </c>
      <c r="CP9" s="11">
        <v>535172.0</v>
      </c>
      <c r="CQ9" s="11">
        <v>737313.0</v>
      </c>
      <c r="CR9" s="11">
        <v>552867.0</v>
      </c>
      <c r="CS9" s="11">
        <v>548772.0</v>
      </c>
      <c r="CT9" s="11">
        <v>634911.0</v>
      </c>
      <c r="CU9" s="11">
        <v>636552.0</v>
      </c>
      <c r="CV9" s="11">
        <v>849810.0</v>
      </c>
      <c r="CW9" s="11">
        <v>483153.0</v>
      </c>
      <c r="CX9" s="11">
        <v>623823.0</v>
      </c>
      <c r="CY9" s="11">
        <v>287536.0</v>
      </c>
      <c r="CZ9" s="11">
        <v>601632.0</v>
      </c>
      <c r="DA9" s="11">
        <v>662751.0</v>
      </c>
      <c r="DB9" s="11">
        <v>705650.0</v>
      </c>
      <c r="DC9" s="11">
        <v>717470.0</v>
      </c>
      <c r="DD9" s="11">
        <v>748979.0</v>
      </c>
      <c r="DE9" s="11">
        <v>569631.0</v>
      </c>
      <c r="DF9" s="11">
        <v>575951.0</v>
      </c>
      <c r="DG9" s="11">
        <v>411824.0</v>
      </c>
      <c r="DH9" s="11">
        <v>571398.0</v>
      </c>
      <c r="DI9" s="11">
        <v>622707.0</v>
      </c>
      <c r="DJ9" s="11">
        <v>556225.0</v>
      </c>
      <c r="DK9" s="11">
        <v>843778.0</v>
      </c>
      <c r="DL9" s="11">
        <v>388277.0</v>
      </c>
      <c r="DM9" s="11">
        <v>498764.0</v>
      </c>
      <c r="DN9" s="11">
        <v>686866.0</v>
      </c>
      <c r="DO9" s="11">
        <v>590098.0</v>
      </c>
      <c r="DP9" s="11">
        <v>567911.0</v>
      </c>
      <c r="DQ9" s="11">
        <v>522542.0</v>
      </c>
      <c r="DR9" s="11">
        <v>608330.0</v>
      </c>
      <c r="DS9" s="11">
        <v>538209.0</v>
      </c>
      <c r="DT9" s="11">
        <v>464223.0</v>
      </c>
      <c r="DU9" s="11">
        <v>307584.0</v>
      </c>
      <c r="DV9" s="11">
        <v>436464.0</v>
      </c>
      <c r="DW9" s="11">
        <v>459558.0</v>
      </c>
      <c r="DX9" s="11">
        <v>626682.0</v>
      </c>
      <c r="DY9" s="11">
        <v>604210.0</v>
      </c>
      <c r="DZ9" s="11">
        <v>434169.0</v>
      </c>
      <c r="EA9" s="11">
        <v>404020.0</v>
      </c>
      <c r="EB9" s="11">
        <v>652069.0</v>
      </c>
      <c r="EC9" s="11">
        <v>541449.0</v>
      </c>
      <c r="ED9" s="11">
        <v>815434.0</v>
      </c>
      <c r="EE9" s="11">
        <v>534639.0</v>
      </c>
      <c r="EF9" s="11">
        <v>879184.0</v>
      </c>
      <c r="EG9" s="11">
        <v>591192.0</v>
      </c>
      <c r="EH9" s="11">
        <v>558567.0</v>
      </c>
      <c r="EI9" s="11">
        <v>485242.0</v>
      </c>
      <c r="EJ9" s="11">
        <v>1125507.0</v>
      </c>
      <c r="EK9" s="11">
        <v>473537.0</v>
      </c>
      <c r="EL9" s="11">
        <v>602842.0</v>
      </c>
      <c r="EM9" s="11">
        <v>688957.0</v>
      </c>
      <c r="EN9" s="11">
        <v>504173.0</v>
      </c>
      <c r="EO9" s="11">
        <v>587277.0</v>
      </c>
      <c r="EP9" s="11">
        <v>827832.0</v>
      </c>
      <c r="EQ9" s="11">
        <v>538998.0</v>
      </c>
      <c r="ER9" s="11">
        <v>214995.0</v>
      </c>
      <c r="ES9" s="11">
        <v>447950.0</v>
      </c>
      <c r="ET9" s="11">
        <v>620452.0</v>
      </c>
      <c r="EU9" s="11">
        <v>392815.0</v>
      </c>
      <c r="EV9" s="11">
        <v>465755.0</v>
      </c>
      <c r="EW9" s="11">
        <v>636908.0</v>
      </c>
      <c r="EX9" s="11">
        <v>638278.0</v>
      </c>
      <c r="EY9" s="11">
        <v>475075.0</v>
      </c>
      <c r="EZ9" s="11">
        <v>752848.0</v>
      </c>
      <c r="FA9" s="11">
        <v>627373.0</v>
      </c>
      <c r="FB9" s="11">
        <v>497255.0</v>
      </c>
      <c r="FC9" s="11">
        <v>732251.0</v>
      </c>
      <c r="FD9" s="11">
        <v>460286.0</v>
      </c>
      <c r="FE9" s="11">
        <v>500385.0</v>
      </c>
      <c r="FF9" s="11">
        <v>472281.0</v>
      </c>
      <c r="FG9" s="11">
        <v>934705.0</v>
      </c>
      <c r="FH9" s="11">
        <v>291953.0</v>
      </c>
      <c r="FI9" s="11">
        <v>644459.0</v>
      </c>
      <c r="FJ9" s="11">
        <v>1189675.0</v>
      </c>
      <c r="FK9" s="11">
        <v>177272.0</v>
      </c>
      <c r="FL9" s="11">
        <v>751330.0</v>
      </c>
      <c r="FM9" s="11">
        <v>462764.0</v>
      </c>
      <c r="FN9" s="11">
        <v>903888.0</v>
      </c>
      <c r="FO9" s="11">
        <v>560108.0</v>
      </c>
      <c r="FP9" s="11">
        <v>389393.0</v>
      </c>
      <c r="FQ9" s="11">
        <v>715261.0</v>
      </c>
      <c r="FR9" s="11">
        <v>267141.0</v>
      </c>
      <c r="FS9" s="11">
        <v>336152.0</v>
      </c>
      <c r="FT9" s="11">
        <v>375790.0</v>
      </c>
      <c r="FU9" s="11">
        <v>343733.0</v>
      </c>
      <c r="FV9" s="11">
        <v>869127.0</v>
      </c>
      <c r="FW9" s="11">
        <v>877597.0</v>
      </c>
      <c r="FX9" s="11">
        <v>202598.0</v>
      </c>
      <c r="FY9" s="11">
        <v>497374.0</v>
      </c>
      <c r="FZ9" s="11">
        <v>426754.0</v>
      </c>
      <c r="GA9" s="11">
        <v>671601.0</v>
      </c>
      <c r="GB9" s="11">
        <v>860395.0</v>
      </c>
      <c r="GC9" s="11">
        <v>403870.0</v>
      </c>
      <c r="GD9" s="11">
        <v>568363.0</v>
      </c>
      <c r="GE9" s="11">
        <v>711094.0</v>
      </c>
      <c r="GF9" s="11">
        <v>457875.0</v>
      </c>
      <c r="GG9" s="11">
        <v>298521.0</v>
      </c>
      <c r="GH9" s="11">
        <v>495019.0</v>
      </c>
      <c r="GI9" s="11">
        <v>405829.0</v>
      </c>
      <c r="GJ9" s="11">
        <v>593080.0</v>
      </c>
      <c r="GK9" s="11">
        <v>774523.0</v>
      </c>
      <c r="GL9" s="11">
        <v>707304.0</v>
      </c>
      <c r="GM9" s="11">
        <v>365102.0</v>
      </c>
      <c r="GN9" s="11">
        <v>445053.0</v>
      </c>
      <c r="GO9" s="11">
        <v>662112.0</v>
      </c>
      <c r="GP9" s="11">
        <v>658992.0</v>
      </c>
      <c r="GQ9" s="11">
        <v>749531.0</v>
      </c>
      <c r="GR9" s="11">
        <v>444266.0</v>
      </c>
      <c r="GS9" s="11">
        <v>668286.0</v>
      </c>
      <c r="GT9" s="11">
        <v>704259.0</v>
      </c>
      <c r="GU9" s="11">
        <v>371080.0</v>
      </c>
      <c r="GV9" s="11">
        <v>353104.0</v>
      </c>
      <c r="GW9" s="11">
        <v>662549.0</v>
      </c>
      <c r="GX9" s="11">
        <v>223281.0</v>
      </c>
      <c r="GY9" s="11">
        <v>606104.0</v>
      </c>
      <c r="GZ9" s="11">
        <v>299489.0</v>
      </c>
      <c r="HA9" s="11">
        <v>514499.0</v>
      </c>
      <c r="HB9" s="11">
        <v>277844.0</v>
      </c>
      <c r="HC9" s="11">
        <v>919288.0</v>
      </c>
      <c r="HD9" s="11">
        <v>966165.0</v>
      </c>
      <c r="HE9" s="11">
        <v>549587.0</v>
      </c>
      <c r="HF9" s="11">
        <v>467286.0</v>
      </c>
      <c r="HG9" s="11">
        <v>600664.0</v>
      </c>
      <c r="HH9" s="11">
        <v>1051407.0</v>
      </c>
      <c r="HI9" s="11">
        <v>362815.0</v>
      </c>
      <c r="HJ9" s="11">
        <v>606767.0</v>
      </c>
      <c r="HK9" s="11">
        <v>375177.0</v>
      </c>
      <c r="HL9" s="11">
        <v>522399.0</v>
      </c>
      <c r="HM9" s="11">
        <v>740668.0</v>
      </c>
      <c r="HN9" s="11">
        <v>365853.0</v>
      </c>
      <c r="HO9" s="11">
        <v>332811.0</v>
      </c>
      <c r="HP9" s="11">
        <v>398749.0</v>
      </c>
      <c r="HQ9" s="11">
        <v>681061.0</v>
      </c>
      <c r="HR9" s="11">
        <v>360656.0</v>
      </c>
      <c r="HS9" s="11">
        <v>565212.0</v>
      </c>
      <c r="HT9" s="11">
        <v>586451.0</v>
      </c>
      <c r="HU9" s="11">
        <v>507993.0</v>
      </c>
      <c r="HV9" s="11">
        <v>915783.0</v>
      </c>
      <c r="HW9" s="11">
        <v>572776.0</v>
      </c>
      <c r="HX9" s="11">
        <v>628969.0</v>
      </c>
      <c r="HY9" s="11">
        <v>378359.0</v>
      </c>
      <c r="HZ9" s="11">
        <v>958875.0</v>
      </c>
      <c r="IA9" s="11">
        <v>239750.0</v>
      </c>
      <c r="IB9" s="11">
        <v>601867.0</v>
      </c>
      <c r="IC9" s="11">
        <v>466959.0</v>
      </c>
      <c r="ID9" s="11">
        <v>466512.0</v>
      </c>
      <c r="IE9" s="11">
        <v>457302.0</v>
      </c>
      <c r="IF9" s="11">
        <v>535740.0</v>
      </c>
      <c r="IG9" s="11">
        <v>584924.0</v>
      </c>
      <c r="IH9" s="11">
        <v>189529.0</v>
      </c>
      <c r="II9" s="11">
        <v>1293144.0</v>
      </c>
      <c r="IJ9" s="11">
        <v>197336.0</v>
      </c>
      <c r="IK9" s="11">
        <v>458835.0</v>
      </c>
      <c r="IL9" s="11">
        <v>121939.0</v>
      </c>
      <c r="IM9" s="11">
        <v>621284.0</v>
      </c>
      <c r="IN9" s="11">
        <v>528083.0</v>
      </c>
      <c r="IO9" s="11">
        <v>296953.0</v>
      </c>
      <c r="IP9" s="11">
        <v>782338.0</v>
      </c>
      <c r="IQ9" s="11">
        <v>661558.0</v>
      </c>
      <c r="IR9" s="11">
        <v>664412.0</v>
      </c>
      <c r="IS9" s="11">
        <v>409009.0</v>
      </c>
      <c r="IT9" s="11">
        <v>299897.0</v>
      </c>
      <c r="IU9" s="11">
        <v>947003.0</v>
      </c>
      <c r="IV9" s="11">
        <v>373574.0</v>
      </c>
      <c r="IW9" s="11">
        <v>566313.0</v>
      </c>
      <c r="IX9" s="11">
        <v>631058.0</v>
      </c>
      <c r="IY9" s="11">
        <v>274875.0</v>
      </c>
      <c r="IZ9" s="11">
        <v>522496.0</v>
      </c>
      <c r="JA9" s="11">
        <v>772286.0</v>
      </c>
      <c r="JB9" s="11">
        <v>634751.0</v>
      </c>
      <c r="JC9" s="11">
        <v>658642.0</v>
      </c>
      <c r="JD9" s="11">
        <v>392031.0</v>
      </c>
      <c r="JE9" s="11">
        <v>952627.0</v>
      </c>
      <c r="JF9" s="11">
        <v>608970.0</v>
      </c>
      <c r="JG9" s="11">
        <v>438610.0</v>
      </c>
      <c r="JH9" s="11">
        <v>325486.0</v>
      </c>
      <c r="JI9" s="11">
        <v>980356.0</v>
      </c>
      <c r="JJ9" s="11">
        <v>159695.0</v>
      </c>
      <c r="JK9" s="11">
        <v>664885.0</v>
      </c>
      <c r="JL9" s="11">
        <v>554333.0</v>
      </c>
      <c r="JM9" s="11">
        <v>677417.0</v>
      </c>
      <c r="JN9" s="11">
        <v>344640.0</v>
      </c>
      <c r="JO9" s="11">
        <v>544856.0</v>
      </c>
      <c r="JP9" s="11">
        <v>474389.0</v>
      </c>
      <c r="JQ9" s="11">
        <v>762447.0</v>
      </c>
      <c r="JR9" s="11">
        <v>987653.0</v>
      </c>
      <c r="JS9" s="11">
        <v>750115.0</v>
      </c>
      <c r="JT9" s="11">
        <v>422421.0</v>
      </c>
      <c r="JU9" s="11">
        <v>623980.0</v>
      </c>
      <c r="JV9" s="11">
        <v>826600.0</v>
      </c>
      <c r="JW9" s="11">
        <v>552390.0</v>
      </c>
      <c r="JX9" s="11">
        <v>493577.0</v>
      </c>
      <c r="JY9" s="11">
        <v>820938.0</v>
      </c>
      <c r="JZ9" s="11">
        <v>630087.0</v>
      </c>
      <c r="KA9" s="11">
        <v>406288.0</v>
      </c>
      <c r="KB9" s="11">
        <v>730212.0</v>
      </c>
      <c r="KC9" s="11">
        <v>361904.0</v>
      </c>
      <c r="KD9" s="11">
        <v>242870.0</v>
      </c>
      <c r="KE9" s="11">
        <v>878120.0</v>
      </c>
      <c r="KF9" s="11">
        <v>706873.0</v>
      </c>
      <c r="KG9" s="11">
        <v>555453.0</v>
      </c>
      <c r="KH9" s="11">
        <v>430981.0</v>
      </c>
      <c r="KI9" s="11">
        <v>546222.0</v>
      </c>
      <c r="KJ9" s="11">
        <v>656147.0</v>
      </c>
      <c r="KK9" s="11">
        <v>590519.0</v>
      </c>
      <c r="KL9" s="11">
        <v>510390.0</v>
      </c>
      <c r="KM9" s="11">
        <v>755160.0</v>
      </c>
      <c r="KN9" s="11">
        <v>965686.0</v>
      </c>
      <c r="KO9" s="11">
        <v>575409.0</v>
      </c>
      <c r="KP9" s="11">
        <v>734083.0</v>
      </c>
      <c r="KQ9" s="11">
        <v>528409.0</v>
      </c>
      <c r="KR9" s="11">
        <v>523818.0</v>
      </c>
      <c r="KS9" s="11">
        <v>589966.0</v>
      </c>
      <c r="KT9" s="11">
        <v>846259.0</v>
      </c>
      <c r="KU9" s="11">
        <v>748713.0</v>
      </c>
      <c r="KV9" s="11">
        <v>652545.0</v>
      </c>
      <c r="KW9" s="11">
        <v>503782.0</v>
      </c>
      <c r="KX9" s="11">
        <v>525781.0</v>
      </c>
      <c r="KY9" s="11">
        <v>363259.0</v>
      </c>
      <c r="KZ9" s="11">
        <v>478923.0</v>
      </c>
      <c r="LA9" s="11">
        <v>420765.0</v>
      </c>
      <c r="LB9" s="11">
        <v>763317.0</v>
      </c>
      <c r="LC9" s="11">
        <v>651843.0</v>
      </c>
      <c r="LD9" s="11">
        <v>793814.0</v>
      </c>
      <c r="LE9" s="11">
        <v>1042239.0</v>
      </c>
      <c r="LF9" s="11">
        <v>469586.0</v>
      </c>
      <c r="LG9" s="11">
        <v>673165.0</v>
      </c>
      <c r="LH9" s="11">
        <v>644137.0</v>
      </c>
      <c r="LI9" s="11">
        <v>362771.0</v>
      </c>
      <c r="LJ9" s="11">
        <v>585399.0</v>
      </c>
      <c r="LK9" s="11">
        <v>451166.0</v>
      </c>
      <c r="LL9" s="11">
        <v>650717.0</v>
      </c>
      <c r="LM9" s="11">
        <v>538506.0</v>
      </c>
      <c r="LN9" s="11">
        <v>332699.0</v>
      </c>
      <c r="LO9" s="11">
        <v>476440.0</v>
      </c>
      <c r="LP9" s="11">
        <v>812719.0</v>
      </c>
      <c r="LQ9" s="11">
        <v>707947.0</v>
      </c>
      <c r="LR9" s="11">
        <v>248314.0</v>
      </c>
      <c r="LS9" s="11">
        <v>476075.0</v>
      </c>
      <c r="LT9" s="11">
        <v>786138.0</v>
      </c>
      <c r="LU9" s="11">
        <v>577953.0</v>
      </c>
      <c r="LV9" s="11">
        <v>581437.0</v>
      </c>
      <c r="LW9" s="11">
        <v>520470.0</v>
      </c>
      <c r="LX9" s="11">
        <v>762726.0</v>
      </c>
      <c r="LY9" s="11">
        <v>704076.0</v>
      </c>
      <c r="LZ9" s="11">
        <v>836614.0</v>
      </c>
      <c r="MA9" s="11">
        <v>793820.0</v>
      </c>
      <c r="MB9" s="11">
        <v>251314.0</v>
      </c>
      <c r="MC9" s="11">
        <v>910566.0</v>
      </c>
      <c r="MD9" s="11">
        <v>261322.0</v>
      </c>
      <c r="ME9" s="11">
        <v>364776.0</v>
      </c>
      <c r="MF9" s="11">
        <v>372294.0</v>
      </c>
      <c r="MG9" s="11">
        <v>725017.0</v>
      </c>
      <c r="MH9" s="11">
        <v>254298.0</v>
      </c>
      <c r="MI9" s="11">
        <v>822901.0</v>
      </c>
      <c r="MJ9" s="11">
        <v>373844.0</v>
      </c>
      <c r="MK9" s="11">
        <v>457251.0</v>
      </c>
      <c r="ML9" s="11">
        <v>992514.0</v>
      </c>
      <c r="MM9" s="11">
        <v>772571.0</v>
      </c>
      <c r="MN9" s="11">
        <v>652109.0</v>
      </c>
      <c r="MO9" s="11">
        <v>714383.0</v>
      </c>
      <c r="MP9" s="11">
        <v>671667.0</v>
      </c>
      <c r="MQ9" s="11">
        <v>906085.0</v>
      </c>
      <c r="MR9" s="11">
        <v>652192.0</v>
      </c>
      <c r="MS9" s="11">
        <v>82104.0</v>
      </c>
      <c r="MT9" s="11">
        <v>877861.0</v>
      </c>
      <c r="MU9" s="11">
        <v>433878.0</v>
      </c>
      <c r="MV9" s="11">
        <v>739252.0</v>
      </c>
      <c r="MW9" s="11">
        <v>757392.0</v>
      </c>
      <c r="MX9" s="11">
        <v>769854.0</v>
      </c>
      <c r="MY9" s="11">
        <v>482324.0</v>
      </c>
      <c r="MZ9" s="11">
        <v>808937.0</v>
      </c>
      <c r="NA9" s="11">
        <v>319691.0</v>
      </c>
      <c r="NB9" s="12">
        <v>644108.0</v>
      </c>
    </row>
    <row r="10">
      <c r="A10" s="8">
        <v>2.0</v>
      </c>
      <c r="B10" s="9" t="s">
        <v>368</v>
      </c>
      <c r="C10" s="10">
        <v>0.0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0.0</v>
      </c>
      <c r="AK10" s="11">
        <v>0.0</v>
      </c>
      <c r="AL10" s="11">
        <v>0.0</v>
      </c>
      <c r="AM10" s="11">
        <v>0.0</v>
      </c>
      <c r="AN10" s="11">
        <v>0.0</v>
      </c>
      <c r="AO10" s="11">
        <v>0.0</v>
      </c>
      <c r="AP10" s="11">
        <v>0.0</v>
      </c>
      <c r="AQ10" s="11">
        <v>0.0</v>
      </c>
      <c r="AR10" s="11">
        <v>0.0</v>
      </c>
      <c r="AS10" s="11">
        <v>0.0</v>
      </c>
      <c r="AT10" s="11">
        <v>0.0</v>
      </c>
      <c r="AU10" s="11">
        <v>0.0</v>
      </c>
      <c r="AV10" s="11">
        <v>0.0</v>
      </c>
      <c r="AW10" s="11">
        <v>0.0</v>
      </c>
      <c r="AX10" s="11">
        <v>0.0</v>
      </c>
      <c r="AY10" s="11">
        <v>0.0</v>
      </c>
      <c r="AZ10" s="11">
        <v>0.0</v>
      </c>
      <c r="BA10" s="11">
        <v>0.0</v>
      </c>
      <c r="BB10" s="11">
        <v>0.0</v>
      </c>
      <c r="BC10" s="11">
        <v>0.0</v>
      </c>
      <c r="BD10" s="11">
        <v>0.0</v>
      </c>
      <c r="BE10" s="11">
        <v>0.0</v>
      </c>
      <c r="BF10" s="11">
        <v>0.0</v>
      </c>
      <c r="BG10" s="11">
        <v>0.0</v>
      </c>
      <c r="BH10" s="11">
        <v>0.0</v>
      </c>
      <c r="BI10" s="11">
        <v>0.0</v>
      </c>
      <c r="BJ10" s="11">
        <v>0.0</v>
      </c>
      <c r="BK10" s="11">
        <v>0.0</v>
      </c>
      <c r="BL10" s="11">
        <v>0.0</v>
      </c>
      <c r="BM10" s="11">
        <v>0.0</v>
      </c>
      <c r="BN10" s="11">
        <v>0.0</v>
      </c>
      <c r="BO10" s="11">
        <v>0.0</v>
      </c>
      <c r="BP10" s="11">
        <v>0.0</v>
      </c>
      <c r="BQ10" s="11">
        <v>0.0</v>
      </c>
      <c r="BR10" s="11">
        <v>0.0</v>
      </c>
      <c r="BS10" s="11">
        <v>0.0</v>
      </c>
      <c r="BT10" s="11">
        <v>0.0</v>
      </c>
      <c r="BU10" s="11">
        <v>0.0</v>
      </c>
      <c r="BV10" s="11">
        <v>0.0</v>
      </c>
      <c r="BW10" s="11">
        <v>0.0</v>
      </c>
      <c r="BX10" s="11">
        <v>0.0</v>
      </c>
      <c r="BY10" s="11">
        <v>0.0</v>
      </c>
      <c r="BZ10" s="11">
        <v>0.0</v>
      </c>
      <c r="CA10" s="11">
        <v>0.0</v>
      </c>
      <c r="CB10" s="11">
        <v>0.0</v>
      </c>
      <c r="CC10" s="11">
        <v>0.0</v>
      </c>
      <c r="CD10" s="11">
        <v>0.0</v>
      </c>
      <c r="CE10" s="11">
        <v>0.0</v>
      </c>
      <c r="CF10" s="11">
        <v>0.0</v>
      </c>
      <c r="CG10" s="11">
        <v>0.0</v>
      </c>
      <c r="CH10" s="11">
        <v>0.0</v>
      </c>
      <c r="CI10" s="11">
        <v>0.0</v>
      </c>
      <c r="CJ10" s="11">
        <v>0.0</v>
      </c>
      <c r="CK10" s="11">
        <v>0.0</v>
      </c>
      <c r="CL10" s="11">
        <v>175423.0</v>
      </c>
      <c r="CM10" s="11">
        <v>261208.0</v>
      </c>
      <c r="CN10" s="11">
        <v>460602.0</v>
      </c>
      <c r="CO10" s="11">
        <v>251938.0</v>
      </c>
      <c r="CP10" s="11">
        <v>163341.0</v>
      </c>
      <c r="CQ10" s="11">
        <v>497512.0</v>
      </c>
      <c r="CR10" s="11">
        <v>264503.0</v>
      </c>
      <c r="CS10" s="11">
        <v>252015.0</v>
      </c>
      <c r="CT10" s="11">
        <v>259230.0</v>
      </c>
      <c r="CU10" s="11">
        <v>275957.0</v>
      </c>
      <c r="CV10" s="11">
        <v>485009.0</v>
      </c>
      <c r="CW10" s="11">
        <v>388827.0</v>
      </c>
      <c r="CX10" s="11">
        <v>187322.0</v>
      </c>
      <c r="CY10" s="11">
        <v>0.0</v>
      </c>
      <c r="CZ10" s="11">
        <v>211678.0</v>
      </c>
      <c r="DA10" s="11">
        <v>475301.0</v>
      </c>
      <c r="DB10" s="11">
        <v>402569.0</v>
      </c>
      <c r="DC10" s="11">
        <v>416524.0</v>
      </c>
      <c r="DD10" s="11">
        <v>391388.0</v>
      </c>
      <c r="DE10" s="11">
        <v>302233.0</v>
      </c>
      <c r="DF10" s="11">
        <v>302381.0</v>
      </c>
      <c r="DG10" s="11">
        <v>171562.0</v>
      </c>
      <c r="DH10" s="11">
        <v>257848.0</v>
      </c>
      <c r="DI10" s="11">
        <v>186703.0</v>
      </c>
      <c r="DJ10" s="11">
        <v>379966.0</v>
      </c>
      <c r="DK10" s="11">
        <v>365360.0</v>
      </c>
      <c r="DL10" s="11">
        <v>184289.0</v>
      </c>
      <c r="DM10" s="11">
        <v>194311.0</v>
      </c>
      <c r="DN10" s="11">
        <v>512806.0</v>
      </c>
      <c r="DO10" s="11">
        <v>211199.0</v>
      </c>
      <c r="DP10" s="11">
        <v>316042.0</v>
      </c>
      <c r="DQ10" s="11">
        <v>203988.0</v>
      </c>
      <c r="DR10" s="11">
        <v>371897.0</v>
      </c>
      <c r="DS10" s="11">
        <v>203080.0</v>
      </c>
      <c r="DT10" s="11">
        <v>87405.0</v>
      </c>
      <c r="DU10" s="11">
        <v>130157.0</v>
      </c>
      <c r="DV10" s="11">
        <v>326961.0</v>
      </c>
      <c r="DW10" s="11">
        <v>74067.0</v>
      </c>
      <c r="DX10" s="11">
        <v>239845.0</v>
      </c>
      <c r="DY10" s="11">
        <v>276386.0</v>
      </c>
      <c r="DZ10" s="11">
        <v>257189.0</v>
      </c>
      <c r="EA10" s="11">
        <v>109555.0</v>
      </c>
      <c r="EB10" s="11">
        <v>205246.0</v>
      </c>
      <c r="EC10" s="11">
        <v>326543.0</v>
      </c>
      <c r="ED10" s="11">
        <v>523594.0</v>
      </c>
      <c r="EE10" s="11">
        <v>107153.0</v>
      </c>
      <c r="EF10" s="11">
        <v>629280.0</v>
      </c>
      <c r="EG10" s="11">
        <v>171399.0</v>
      </c>
      <c r="EH10" s="11">
        <v>321043.0</v>
      </c>
      <c r="EI10" s="11">
        <v>180981.0</v>
      </c>
      <c r="EJ10" s="11">
        <v>588376.0</v>
      </c>
      <c r="EK10" s="11">
        <v>308173.0</v>
      </c>
      <c r="EL10" s="11">
        <v>232964.0</v>
      </c>
      <c r="EM10" s="11">
        <v>521887.0</v>
      </c>
      <c r="EN10" s="11">
        <v>223332.0</v>
      </c>
      <c r="EO10" s="11">
        <v>332450.0</v>
      </c>
      <c r="EP10" s="11">
        <v>537243.0</v>
      </c>
      <c r="EQ10" s="11">
        <v>121957.0</v>
      </c>
      <c r="ER10" s="11">
        <v>130441.0</v>
      </c>
      <c r="ES10" s="11">
        <v>273030.0</v>
      </c>
      <c r="ET10" s="11">
        <v>454875.0</v>
      </c>
      <c r="EU10" s="11">
        <v>226937.0</v>
      </c>
      <c r="EV10" s="11">
        <v>208178.0</v>
      </c>
      <c r="EW10" s="11">
        <v>246522.0</v>
      </c>
      <c r="EX10" s="11">
        <v>516364.0</v>
      </c>
      <c r="EY10" s="11">
        <v>255221.0</v>
      </c>
      <c r="EZ10" s="11">
        <v>404399.0</v>
      </c>
      <c r="FA10" s="11">
        <v>304839.0</v>
      </c>
      <c r="FB10" s="11">
        <v>295708.0</v>
      </c>
      <c r="FC10" s="11">
        <v>508918.0</v>
      </c>
      <c r="FD10" s="11">
        <v>155798.0</v>
      </c>
      <c r="FE10" s="11">
        <v>211763.0</v>
      </c>
      <c r="FF10" s="11">
        <v>290550.0</v>
      </c>
      <c r="FG10" s="11">
        <v>685112.0</v>
      </c>
      <c r="FH10" s="11">
        <v>72453.0</v>
      </c>
      <c r="FI10" s="11">
        <v>268112.0</v>
      </c>
      <c r="FJ10" s="11">
        <v>720747.0</v>
      </c>
      <c r="FK10" s="11">
        <v>86655.0</v>
      </c>
      <c r="FL10" s="11">
        <v>273466.0</v>
      </c>
      <c r="FM10" s="11">
        <v>238329.0</v>
      </c>
      <c r="FN10" s="11">
        <v>376036.0</v>
      </c>
      <c r="FO10" s="11">
        <v>375751.0</v>
      </c>
      <c r="FP10" s="11">
        <v>310904.0</v>
      </c>
      <c r="FQ10" s="11">
        <v>353882.0</v>
      </c>
      <c r="FR10" s="11">
        <v>172815.0</v>
      </c>
      <c r="FS10" s="11">
        <v>81097.0</v>
      </c>
      <c r="FT10" s="11">
        <v>94326.0</v>
      </c>
      <c r="FU10" s="11">
        <v>250609.0</v>
      </c>
      <c r="FV10" s="11">
        <v>422520.0</v>
      </c>
      <c r="FW10" s="11">
        <v>411627.0</v>
      </c>
      <c r="FX10" s="11">
        <v>0.0</v>
      </c>
      <c r="FY10" s="11">
        <v>186120.0</v>
      </c>
      <c r="FZ10" s="11">
        <v>332428.0</v>
      </c>
      <c r="GA10" s="11">
        <v>268642.0</v>
      </c>
      <c r="GB10" s="11">
        <v>578370.0</v>
      </c>
      <c r="GC10" s="11">
        <v>243369.0</v>
      </c>
      <c r="GD10" s="11">
        <v>265939.0</v>
      </c>
      <c r="GE10" s="11">
        <v>435343.0</v>
      </c>
      <c r="GF10" s="11">
        <v>121914.0</v>
      </c>
      <c r="GG10" s="11">
        <v>154187.0</v>
      </c>
      <c r="GH10" s="11">
        <v>287719.0</v>
      </c>
      <c r="GI10" s="11">
        <v>0.0</v>
      </c>
      <c r="GJ10" s="11">
        <v>271249.0</v>
      </c>
      <c r="GK10" s="11">
        <v>601970.0</v>
      </c>
      <c r="GL10" s="11">
        <v>420468.0</v>
      </c>
      <c r="GM10" s="11">
        <v>121946.0</v>
      </c>
      <c r="GN10" s="11">
        <v>72462.0</v>
      </c>
      <c r="GO10" s="11">
        <v>276226.0</v>
      </c>
      <c r="GP10" s="11">
        <v>313925.0</v>
      </c>
      <c r="GQ10" s="11">
        <v>661492.0</v>
      </c>
      <c r="GR10" s="11">
        <v>87780.0</v>
      </c>
      <c r="GS10" s="11">
        <v>300519.0</v>
      </c>
      <c r="GT10" s="11">
        <v>419877.0</v>
      </c>
      <c r="GU10" s="11">
        <v>73705.0</v>
      </c>
      <c r="GV10" s="11">
        <v>77053.0</v>
      </c>
      <c r="GW10" s="11">
        <v>304743.0</v>
      </c>
      <c r="GX10" s="11">
        <v>0.0</v>
      </c>
      <c r="GY10" s="11">
        <v>255540.0</v>
      </c>
      <c r="GZ10" s="11">
        <v>121939.0</v>
      </c>
      <c r="HA10" s="11">
        <v>166074.0</v>
      </c>
      <c r="HB10" s="11">
        <v>194986.0</v>
      </c>
      <c r="HC10" s="11">
        <v>459559.0</v>
      </c>
      <c r="HD10" s="11">
        <v>575915.0</v>
      </c>
      <c r="HE10" s="11">
        <v>81097.0</v>
      </c>
      <c r="HF10" s="11">
        <v>208498.0</v>
      </c>
      <c r="HG10" s="11">
        <v>244729.0</v>
      </c>
      <c r="HH10" s="11">
        <v>777920.0</v>
      </c>
      <c r="HI10" s="11">
        <v>151476.0</v>
      </c>
      <c r="HJ10" s="11">
        <v>318190.0</v>
      </c>
      <c r="HK10" s="11">
        <v>170951.0</v>
      </c>
      <c r="HL10" s="11">
        <v>283977.0</v>
      </c>
      <c r="HM10" s="11">
        <v>252012.0</v>
      </c>
      <c r="HN10" s="11">
        <v>153413.0</v>
      </c>
      <c r="HO10" s="11">
        <v>79460.0</v>
      </c>
      <c r="HP10" s="11">
        <v>253971.0</v>
      </c>
      <c r="HQ10" s="11">
        <v>327288.0</v>
      </c>
      <c r="HR10" s="11">
        <v>0.0</v>
      </c>
      <c r="HS10" s="11">
        <v>273973.0</v>
      </c>
      <c r="HT10" s="11">
        <v>416380.0</v>
      </c>
      <c r="HU10" s="11">
        <v>186573.0</v>
      </c>
      <c r="HV10" s="11">
        <v>585103.0</v>
      </c>
      <c r="HW10" s="11">
        <v>398443.0</v>
      </c>
      <c r="HX10" s="11">
        <v>255599.0</v>
      </c>
      <c r="HY10" s="11">
        <v>289482.0</v>
      </c>
      <c r="HZ10" s="11">
        <v>683630.0</v>
      </c>
      <c r="IA10" s="11">
        <v>77053.0</v>
      </c>
      <c r="IB10" s="11">
        <v>197701.0</v>
      </c>
      <c r="IC10" s="11">
        <v>301546.0</v>
      </c>
      <c r="ID10" s="11">
        <v>184675.0</v>
      </c>
      <c r="IE10" s="11">
        <v>314104.0</v>
      </c>
      <c r="IF10" s="11">
        <v>174219.0</v>
      </c>
      <c r="IG10" s="11">
        <v>409501.0</v>
      </c>
      <c r="IH10" s="11">
        <v>84863.0</v>
      </c>
      <c r="II10" s="11">
        <v>490265.0</v>
      </c>
      <c r="IJ10" s="11">
        <v>0.0</v>
      </c>
      <c r="IK10" s="11">
        <v>288703.0</v>
      </c>
      <c r="IL10" s="11">
        <v>0.0</v>
      </c>
      <c r="IM10" s="11">
        <v>361018.0</v>
      </c>
      <c r="IN10" s="11">
        <v>261594.0</v>
      </c>
      <c r="IO10" s="11">
        <v>109503.0</v>
      </c>
      <c r="IP10" s="11">
        <v>374507.0</v>
      </c>
      <c r="IQ10" s="11">
        <v>266793.0</v>
      </c>
      <c r="IR10" s="11">
        <v>391016.0</v>
      </c>
      <c r="IS10" s="11">
        <v>231890.0</v>
      </c>
      <c r="IT10" s="11">
        <v>93124.0</v>
      </c>
      <c r="IU10" s="11">
        <v>358342.0</v>
      </c>
      <c r="IV10" s="11">
        <v>373574.0</v>
      </c>
      <c r="IW10" s="11">
        <v>206826.0</v>
      </c>
      <c r="IX10" s="11">
        <v>324418.0</v>
      </c>
      <c r="IY10" s="11">
        <v>0.0</v>
      </c>
      <c r="IZ10" s="11">
        <v>281840.0</v>
      </c>
      <c r="JA10" s="11">
        <v>519060.0</v>
      </c>
      <c r="JB10" s="11">
        <v>383742.0</v>
      </c>
      <c r="JC10" s="11">
        <v>246974.0</v>
      </c>
      <c r="JD10" s="11">
        <v>239581.0</v>
      </c>
      <c r="JE10" s="11">
        <v>595853.0</v>
      </c>
      <c r="JF10" s="11">
        <v>185995.0</v>
      </c>
      <c r="JG10" s="11">
        <v>366180.0</v>
      </c>
      <c r="JH10" s="11">
        <v>72990.0</v>
      </c>
      <c r="JI10" s="11">
        <v>426561.0</v>
      </c>
      <c r="JJ10" s="11">
        <v>159695.0</v>
      </c>
      <c r="JK10" s="11">
        <v>461842.0</v>
      </c>
      <c r="JL10" s="11">
        <v>259874.0</v>
      </c>
      <c r="JM10" s="11">
        <v>461012.0</v>
      </c>
      <c r="JN10" s="11">
        <v>121957.0</v>
      </c>
      <c r="JO10" s="11">
        <v>291654.0</v>
      </c>
      <c r="JP10" s="11">
        <v>170724.0</v>
      </c>
      <c r="JQ10" s="11">
        <v>296972.0</v>
      </c>
      <c r="JR10" s="11">
        <v>460298.0</v>
      </c>
      <c r="JS10" s="11">
        <v>586949.0</v>
      </c>
      <c r="JT10" s="11">
        <v>267481.0</v>
      </c>
      <c r="JU10" s="11">
        <v>287583.0</v>
      </c>
      <c r="JV10" s="11">
        <v>628220.0</v>
      </c>
      <c r="JW10" s="11">
        <v>382177.0</v>
      </c>
      <c r="JX10" s="11">
        <v>203010.0</v>
      </c>
      <c r="JY10" s="11">
        <v>308231.0</v>
      </c>
      <c r="JZ10" s="11">
        <v>445144.0</v>
      </c>
      <c r="KA10" s="11">
        <v>93124.0</v>
      </c>
      <c r="KB10" s="11">
        <v>446557.0</v>
      </c>
      <c r="KC10" s="11">
        <v>268908.0</v>
      </c>
      <c r="KD10" s="11">
        <v>89343.0</v>
      </c>
      <c r="KE10" s="11">
        <v>512097.0</v>
      </c>
      <c r="KF10" s="11">
        <v>416629.0</v>
      </c>
      <c r="KG10" s="11">
        <v>267786.0</v>
      </c>
      <c r="KH10" s="11">
        <v>0.0</v>
      </c>
      <c r="KI10" s="11">
        <v>121823.0</v>
      </c>
      <c r="KJ10" s="11">
        <v>389954.0</v>
      </c>
      <c r="KK10" s="11">
        <v>331104.0</v>
      </c>
      <c r="KL10" s="11">
        <v>333368.0</v>
      </c>
      <c r="KM10" s="11">
        <v>345603.0</v>
      </c>
      <c r="KN10" s="11">
        <v>440975.0</v>
      </c>
      <c r="KO10" s="11">
        <v>294777.0</v>
      </c>
      <c r="KP10" s="11">
        <v>468116.0</v>
      </c>
      <c r="KQ10" s="11">
        <v>195977.0</v>
      </c>
      <c r="KR10" s="11">
        <v>271759.0</v>
      </c>
      <c r="KS10" s="11">
        <v>499349.0</v>
      </c>
      <c r="KT10" s="11">
        <v>436339.0</v>
      </c>
      <c r="KU10" s="11">
        <v>301749.0</v>
      </c>
      <c r="KV10" s="11">
        <v>263346.0</v>
      </c>
      <c r="KW10" s="11">
        <v>202547.0</v>
      </c>
      <c r="KX10" s="11">
        <v>279851.0</v>
      </c>
      <c r="KY10" s="11">
        <v>175443.0</v>
      </c>
      <c r="KZ10" s="11">
        <v>165791.0</v>
      </c>
      <c r="LA10" s="11">
        <v>145258.0</v>
      </c>
      <c r="LB10" s="11">
        <v>449984.0</v>
      </c>
      <c r="LC10" s="11">
        <v>265248.0</v>
      </c>
      <c r="LD10" s="11">
        <v>374013.0</v>
      </c>
      <c r="LE10" s="11">
        <v>696859.0</v>
      </c>
      <c r="LF10" s="11">
        <v>149437.0</v>
      </c>
      <c r="LG10" s="11">
        <v>415878.0</v>
      </c>
      <c r="LH10" s="11">
        <v>326615.0</v>
      </c>
      <c r="LI10" s="11">
        <v>159831.0</v>
      </c>
      <c r="LJ10" s="11">
        <v>400436.0</v>
      </c>
      <c r="LK10" s="11">
        <v>91496.0</v>
      </c>
      <c r="LL10" s="11">
        <v>275660.0</v>
      </c>
      <c r="LM10" s="11">
        <v>228890.0</v>
      </c>
      <c r="LN10" s="11">
        <v>162614.0</v>
      </c>
      <c r="LO10" s="11">
        <v>244296.0</v>
      </c>
      <c r="LP10" s="11">
        <v>405690.0</v>
      </c>
      <c r="LQ10" s="11">
        <v>321505.0</v>
      </c>
      <c r="LR10" s="11">
        <v>86655.0</v>
      </c>
      <c r="LS10" s="11">
        <v>252652.0</v>
      </c>
      <c r="LT10" s="11">
        <v>320781.0</v>
      </c>
      <c r="LU10" s="11">
        <v>388733.0</v>
      </c>
      <c r="LV10" s="11">
        <v>280977.0</v>
      </c>
      <c r="LW10" s="11">
        <v>438355.0</v>
      </c>
      <c r="LX10" s="11">
        <v>258643.0</v>
      </c>
      <c r="LY10" s="11">
        <v>388445.0</v>
      </c>
      <c r="LZ10" s="11">
        <v>414212.0</v>
      </c>
      <c r="MA10" s="11">
        <v>452025.0</v>
      </c>
      <c r="MB10" s="11">
        <v>171854.0</v>
      </c>
      <c r="MC10" s="11">
        <v>356850.0</v>
      </c>
      <c r="MD10" s="11">
        <v>168297.0</v>
      </c>
      <c r="ME10" s="11">
        <v>234619.0</v>
      </c>
      <c r="MF10" s="11">
        <v>81097.0</v>
      </c>
      <c r="MG10" s="11">
        <v>336606.0</v>
      </c>
      <c r="MH10" s="11">
        <v>0.0</v>
      </c>
      <c r="MI10" s="11">
        <v>298357.0</v>
      </c>
      <c r="MJ10" s="11">
        <v>202429.0</v>
      </c>
      <c r="MK10" s="11">
        <v>335172.0</v>
      </c>
      <c r="ML10" s="11">
        <v>551522.0</v>
      </c>
      <c r="MM10" s="11">
        <v>598398.0</v>
      </c>
      <c r="MN10" s="11">
        <v>411508.0</v>
      </c>
      <c r="MO10" s="11">
        <v>410090.0</v>
      </c>
      <c r="MP10" s="11">
        <v>255245.0</v>
      </c>
      <c r="MQ10" s="11">
        <v>363295.0</v>
      </c>
      <c r="MR10" s="11">
        <v>253313.0</v>
      </c>
      <c r="MS10" s="11">
        <v>0.0</v>
      </c>
      <c r="MT10" s="11">
        <v>442622.0</v>
      </c>
      <c r="MU10" s="11">
        <v>227907.0</v>
      </c>
      <c r="MV10" s="11">
        <v>574073.0</v>
      </c>
      <c r="MW10" s="11">
        <v>278019.0</v>
      </c>
      <c r="MX10" s="11">
        <v>453216.0</v>
      </c>
      <c r="MY10" s="11">
        <v>190861.0</v>
      </c>
      <c r="MZ10" s="11">
        <v>590378.0</v>
      </c>
      <c r="NA10" s="11">
        <v>161828.0</v>
      </c>
      <c r="NB10" s="12">
        <v>121957.0</v>
      </c>
    </row>
    <row r="11">
      <c r="A11" s="8">
        <v>2.0</v>
      </c>
      <c r="B11" s="9" t="s">
        <v>369</v>
      </c>
      <c r="C11" s="10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93035.0</v>
      </c>
      <c r="R11" s="11">
        <v>0.0</v>
      </c>
      <c r="S11" s="11">
        <v>107153.0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72950.0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11">
        <v>0.0</v>
      </c>
      <c r="BA11" s="11">
        <v>0.0</v>
      </c>
      <c r="BB11" s="11">
        <v>0.0</v>
      </c>
      <c r="BC11" s="11">
        <v>0.0</v>
      </c>
      <c r="BD11" s="11">
        <v>0.0</v>
      </c>
      <c r="BE11" s="11">
        <v>71997.0</v>
      </c>
      <c r="BF11" s="11">
        <v>0.0</v>
      </c>
      <c r="BG11" s="11">
        <v>0.0</v>
      </c>
      <c r="BH11" s="11">
        <v>0.0</v>
      </c>
      <c r="BI11" s="11">
        <v>0.0</v>
      </c>
      <c r="BJ11" s="11">
        <v>0.0</v>
      </c>
      <c r="BK11" s="11">
        <v>0.0</v>
      </c>
      <c r="BL11" s="11">
        <v>0.0</v>
      </c>
      <c r="BM11" s="11">
        <v>0.0</v>
      </c>
      <c r="BN11" s="11">
        <v>0.0</v>
      </c>
      <c r="BO11" s="11">
        <v>0.0</v>
      </c>
      <c r="BP11" s="11">
        <v>0.0</v>
      </c>
      <c r="BQ11" s="11">
        <v>0.0</v>
      </c>
      <c r="BR11" s="11">
        <v>0.0</v>
      </c>
      <c r="BS11" s="11">
        <v>0.0</v>
      </c>
      <c r="BT11" s="11">
        <v>0.0</v>
      </c>
      <c r="BU11" s="11">
        <v>0.0</v>
      </c>
      <c r="BV11" s="11">
        <v>0.0</v>
      </c>
      <c r="BW11" s="11">
        <v>0.0</v>
      </c>
      <c r="BX11" s="11">
        <v>0.0</v>
      </c>
      <c r="BY11" s="11">
        <v>0.0</v>
      </c>
      <c r="BZ11" s="11">
        <v>0.0</v>
      </c>
      <c r="CA11" s="11">
        <v>0.0</v>
      </c>
      <c r="CB11" s="11">
        <v>0.0</v>
      </c>
      <c r="CC11" s="11">
        <v>0.0</v>
      </c>
      <c r="CD11" s="11">
        <v>0.0</v>
      </c>
      <c r="CE11" s="11">
        <v>0.0</v>
      </c>
      <c r="CF11" s="11">
        <v>0.0</v>
      </c>
      <c r="CG11" s="11">
        <v>0.0</v>
      </c>
      <c r="CH11" s="11">
        <v>0.0</v>
      </c>
      <c r="CI11" s="11">
        <v>0.0</v>
      </c>
      <c r="CJ11" s="11">
        <v>0.0</v>
      </c>
      <c r="CK11" s="11">
        <v>0.0</v>
      </c>
      <c r="CL11" s="11">
        <v>82104.0</v>
      </c>
      <c r="CM11" s="11">
        <v>223200.0</v>
      </c>
      <c r="CN11" s="11">
        <v>344007.0</v>
      </c>
      <c r="CO11" s="11">
        <v>358998.0</v>
      </c>
      <c r="CP11" s="11">
        <v>371831.0</v>
      </c>
      <c r="CQ11" s="11">
        <v>239801.0</v>
      </c>
      <c r="CR11" s="11">
        <v>288364.0</v>
      </c>
      <c r="CS11" s="11">
        <v>296757.0</v>
      </c>
      <c r="CT11" s="11">
        <v>375681.0</v>
      </c>
      <c r="CU11" s="11">
        <v>360595.0</v>
      </c>
      <c r="CV11" s="11">
        <v>364801.0</v>
      </c>
      <c r="CW11" s="11">
        <v>94326.0</v>
      </c>
      <c r="CX11" s="11">
        <v>436501.0</v>
      </c>
      <c r="CY11" s="11">
        <v>287536.0</v>
      </c>
      <c r="CZ11" s="11">
        <v>389954.0</v>
      </c>
      <c r="DA11" s="11">
        <v>187450.0</v>
      </c>
      <c r="DB11" s="11">
        <v>303081.0</v>
      </c>
      <c r="DC11" s="11">
        <v>300946.0</v>
      </c>
      <c r="DD11" s="11">
        <v>357591.0</v>
      </c>
      <c r="DE11" s="11">
        <v>267398.0</v>
      </c>
      <c r="DF11" s="11">
        <v>273570.0</v>
      </c>
      <c r="DG11" s="11">
        <v>240262.0</v>
      </c>
      <c r="DH11" s="11">
        <v>313550.0</v>
      </c>
      <c r="DI11" s="11">
        <v>436004.0</v>
      </c>
      <c r="DJ11" s="11">
        <v>176259.0</v>
      </c>
      <c r="DK11" s="11">
        <v>478418.0</v>
      </c>
      <c r="DL11" s="11">
        <v>203988.0</v>
      </c>
      <c r="DM11" s="11">
        <v>304453.0</v>
      </c>
      <c r="DN11" s="11">
        <v>174060.0</v>
      </c>
      <c r="DO11" s="11">
        <v>378899.0</v>
      </c>
      <c r="DP11" s="11">
        <v>251869.0</v>
      </c>
      <c r="DQ11" s="11">
        <v>318554.0</v>
      </c>
      <c r="DR11" s="11">
        <v>236433.0</v>
      </c>
      <c r="DS11" s="11">
        <v>335129.0</v>
      </c>
      <c r="DT11" s="11">
        <v>376818.0</v>
      </c>
      <c r="DU11" s="11">
        <v>177427.0</v>
      </c>
      <c r="DV11" s="11">
        <v>109503.0</v>
      </c>
      <c r="DW11" s="11">
        <v>385491.0</v>
      </c>
      <c r="DX11" s="11">
        <v>386837.0</v>
      </c>
      <c r="DY11" s="11">
        <v>327824.0</v>
      </c>
      <c r="DZ11" s="11">
        <v>176980.0</v>
      </c>
      <c r="EA11" s="11">
        <v>294465.0</v>
      </c>
      <c r="EB11" s="11">
        <v>446823.0</v>
      </c>
      <c r="EC11" s="11">
        <v>214906.0</v>
      </c>
      <c r="ED11" s="11">
        <v>291840.0</v>
      </c>
      <c r="EE11" s="11">
        <v>427486.0</v>
      </c>
      <c r="EF11" s="11">
        <v>249904.0</v>
      </c>
      <c r="EG11" s="11">
        <v>419793.0</v>
      </c>
      <c r="EH11" s="11">
        <v>237524.0</v>
      </c>
      <c r="EI11" s="11">
        <v>304261.0</v>
      </c>
      <c r="EJ11" s="11">
        <v>537131.0</v>
      </c>
      <c r="EK11" s="11">
        <v>165364.0</v>
      </c>
      <c r="EL11" s="11">
        <v>369878.0</v>
      </c>
      <c r="EM11" s="11">
        <v>167070.0</v>
      </c>
      <c r="EN11" s="11">
        <v>280841.0</v>
      </c>
      <c r="EO11" s="11">
        <v>254827.0</v>
      </c>
      <c r="EP11" s="11">
        <v>290589.0</v>
      </c>
      <c r="EQ11" s="11">
        <v>417041.0</v>
      </c>
      <c r="ER11" s="11">
        <v>84554.0</v>
      </c>
      <c r="ES11" s="11">
        <v>174920.0</v>
      </c>
      <c r="ET11" s="11">
        <v>165577.0</v>
      </c>
      <c r="EU11" s="11">
        <v>165878.0</v>
      </c>
      <c r="EV11" s="11">
        <v>257577.0</v>
      </c>
      <c r="EW11" s="11">
        <v>390386.0</v>
      </c>
      <c r="EX11" s="11">
        <v>121914.0</v>
      </c>
      <c r="EY11" s="11">
        <v>219854.0</v>
      </c>
      <c r="EZ11" s="11">
        <v>348449.0</v>
      </c>
      <c r="FA11" s="11">
        <v>322534.0</v>
      </c>
      <c r="FB11" s="11">
        <v>201547.0</v>
      </c>
      <c r="FC11" s="11">
        <v>223333.0</v>
      </c>
      <c r="FD11" s="11">
        <v>304488.0</v>
      </c>
      <c r="FE11" s="11">
        <v>288622.0</v>
      </c>
      <c r="FF11" s="11">
        <v>181731.0</v>
      </c>
      <c r="FG11" s="11">
        <v>249593.0</v>
      </c>
      <c r="FH11" s="11">
        <v>219500.0</v>
      </c>
      <c r="FI11" s="11">
        <v>376347.0</v>
      </c>
      <c r="FJ11" s="11">
        <v>468928.0</v>
      </c>
      <c r="FK11" s="11">
        <v>90617.0</v>
      </c>
      <c r="FL11" s="11">
        <v>477864.0</v>
      </c>
      <c r="FM11" s="11">
        <v>224435.0</v>
      </c>
      <c r="FN11" s="11">
        <v>527852.0</v>
      </c>
      <c r="FO11" s="11">
        <v>184357.0</v>
      </c>
      <c r="FP11" s="11">
        <v>78489.0</v>
      </c>
      <c r="FQ11" s="11">
        <v>361379.0</v>
      </c>
      <c r="FR11" s="11">
        <v>94326.0</v>
      </c>
      <c r="FS11" s="11">
        <v>255055.0</v>
      </c>
      <c r="FT11" s="11">
        <v>281464.0</v>
      </c>
      <c r="FU11" s="11">
        <v>93124.0</v>
      </c>
      <c r="FV11" s="11">
        <v>446607.0</v>
      </c>
      <c r="FW11" s="11">
        <v>465970.0</v>
      </c>
      <c r="FX11" s="11">
        <v>202598.0</v>
      </c>
      <c r="FY11" s="11">
        <v>311254.0</v>
      </c>
      <c r="FZ11" s="11">
        <v>94326.0</v>
      </c>
      <c r="GA11" s="11">
        <v>402959.0</v>
      </c>
      <c r="GB11" s="11">
        <v>282025.0</v>
      </c>
      <c r="GC11" s="11">
        <v>160501.0</v>
      </c>
      <c r="GD11" s="11">
        <v>302424.0</v>
      </c>
      <c r="GE11" s="11">
        <v>275751.0</v>
      </c>
      <c r="GF11" s="11">
        <v>335961.0</v>
      </c>
      <c r="GG11" s="11">
        <v>144334.0</v>
      </c>
      <c r="GH11" s="11">
        <v>207300.0</v>
      </c>
      <c r="GI11" s="11">
        <v>405829.0</v>
      </c>
      <c r="GJ11" s="11">
        <v>321831.0</v>
      </c>
      <c r="GK11" s="11">
        <v>172553.0</v>
      </c>
      <c r="GL11" s="11">
        <v>286836.0</v>
      </c>
      <c r="GM11" s="11">
        <v>243156.0</v>
      </c>
      <c r="GN11" s="11">
        <v>372591.0</v>
      </c>
      <c r="GO11" s="11">
        <v>385886.0</v>
      </c>
      <c r="GP11" s="11">
        <v>345067.0</v>
      </c>
      <c r="GQ11" s="11">
        <v>88039.0</v>
      </c>
      <c r="GR11" s="11">
        <v>356486.0</v>
      </c>
      <c r="GS11" s="11">
        <v>367767.0</v>
      </c>
      <c r="GT11" s="11">
        <v>284382.0</v>
      </c>
      <c r="GU11" s="11">
        <v>297375.0</v>
      </c>
      <c r="GV11" s="11">
        <v>276051.0</v>
      </c>
      <c r="GW11" s="11">
        <v>357806.0</v>
      </c>
      <c r="GX11" s="11">
        <v>223281.0</v>
      </c>
      <c r="GY11" s="11">
        <v>350564.0</v>
      </c>
      <c r="GZ11" s="11">
        <v>177550.0</v>
      </c>
      <c r="HA11" s="11">
        <v>348425.0</v>
      </c>
      <c r="HB11" s="11">
        <v>82858.0</v>
      </c>
      <c r="HC11" s="11">
        <v>459729.0</v>
      </c>
      <c r="HD11" s="11">
        <v>390250.0</v>
      </c>
      <c r="HE11" s="11">
        <v>468490.0</v>
      </c>
      <c r="HF11" s="11">
        <v>258788.0</v>
      </c>
      <c r="HG11" s="11">
        <v>355935.0</v>
      </c>
      <c r="HH11" s="11">
        <v>273487.0</v>
      </c>
      <c r="HI11" s="11">
        <v>211339.0</v>
      </c>
      <c r="HJ11" s="11">
        <v>288577.0</v>
      </c>
      <c r="HK11" s="11">
        <v>204226.0</v>
      </c>
      <c r="HL11" s="11">
        <v>238422.0</v>
      </c>
      <c r="HM11" s="11">
        <v>488656.0</v>
      </c>
      <c r="HN11" s="11">
        <v>212440.0</v>
      </c>
      <c r="HO11" s="11">
        <v>253351.0</v>
      </c>
      <c r="HP11" s="11">
        <v>144778.0</v>
      </c>
      <c r="HQ11" s="11">
        <v>353773.0</v>
      </c>
      <c r="HR11" s="11">
        <v>360656.0</v>
      </c>
      <c r="HS11" s="11">
        <v>291239.0</v>
      </c>
      <c r="HT11" s="11">
        <v>170071.0</v>
      </c>
      <c r="HU11" s="11">
        <v>321420.0</v>
      </c>
      <c r="HV11" s="11">
        <v>330680.0</v>
      </c>
      <c r="HW11" s="11">
        <v>174333.0</v>
      </c>
      <c r="HX11" s="11">
        <v>373370.0</v>
      </c>
      <c r="HY11" s="11">
        <v>88877.0</v>
      </c>
      <c r="HZ11" s="11">
        <v>275245.0</v>
      </c>
      <c r="IA11" s="11">
        <v>162697.0</v>
      </c>
      <c r="IB11" s="11">
        <v>404166.0</v>
      </c>
      <c r="IC11" s="11">
        <v>165413.0</v>
      </c>
      <c r="ID11" s="11">
        <v>281837.0</v>
      </c>
      <c r="IE11" s="11">
        <v>143198.0</v>
      </c>
      <c r="IF11" s="11">
        <v>361521.0</v>
      </c>
      <c r="IG11" s="11">
        <v>175423.0</v>
      </c>
      <c r="IH11" s="11">
        <v>104666.0</v>
      </c>
      <c r="II11" s="11">
        <v>802879.0</v>
      </c>
      <c r="IJ11" s="11">
        <v>197336.0</v>
      </c>
      <c r="IK11" s="11">
        <v>170132.0</v>
      </c>
      <c r="IL11" s="11">
        <v>121939.0</v>
      </c>
      <c r="IM11" s="11">
        <v>260266.0</v>
      </c>
      <c r="IN11" s="11">
        <v>266489.0</v>
      </c>
      <c r="IO11" s="11">
        <v>187450.0</v>
      </c>
      <c r="IP11" s="11">
        <v>407831.0</v>
      </c>
      <c r="IQ11" s="11">
        <v>394765.0</v>
      </c>
      <c r="IR11" s="11">
        <v>273396.0</v>
      </c>
      <c r="IS11" s="11">
        <v>177119.0</v>
      </c>
      <c r="IT11" s="11">
        <v>206773.0</v>
      </c>
      <c r="IU11" s="11">
        <v>588661.0</v>
      </c>
      <c r="IV11" s="11">
        <v>0.0</v>
      </c>
      <c r="IW11" s="11">
        <v>359487.0</v>
      </c>
      <c r="IX11" s="11">
        <v>306640.0</v>
      </c>
      <c r="IY11" s="11">
        <v>274875.0</v>
      </c>
      <c r="IZ11" s="11">
        <v>240656.0</v>
      </c>
      <c r="JA11" s="11">
        <v>253226.0</v>
      </c>
      <c r="JB11" s="11">
        <v>251009.0</v>
      </c>
      <c r="JC11" s="11">
        <v>411668.0</v>
      </c>
      <c r="JD11" s="11">
        <v>152450.0</v>
      </c>
      <c r="JE11" s="11">
        <v>356774.0</v>
      </c>
      <c r="JF11" s="11">
        <v>422975.0</v>
      </c>
      <c r="JG11" s="11">
        <v>72430.0</v>
      </c>
      <c r="JH11" s="11">
        <v>252496.0</v>
      </c>
      <c r="JI11" s="11">
        <v>553795.0</v>
      </c>
      <c r="JJ11" s="11">
        <v>0.0</v>
      </c>
      <c r="JK11" s="11">
        <v>203043.0</v>
      </c>
      <c r="JL11" s="11">
        <v>294459.0</v>
      </c>
      <c r="JM11" s="11">
        <v>216405.0</v>
      </c>
      <c r="JN11" s="11">
        <v>222683.0</v>
      </c>
      <c r="JO11" s="11">
        <v>253202.0</v>
      </c>
      <c r="JP11" s="11">
        <v>303665.0</v>
      </c>
      <c r="JQ11" s="11">
        <v>465475.0</v>
      </c>
      <c r="JR11" s="11">
        <v>527355.0</v>
      </c>
      <c r="JS11" s="11">
        <v>163166.0</v>
      </c>
      <c r="JT11" s="11">
        <v>154940.0</v>
      </c>
      <c r="JU11" s="11">
        <v>336397.0</v>
      </c>
      <c r="JV11" s="11">
        <v>198380.0</v>
      </c>
      <c r="JW11" s="11">
        <v>170213.0</v>
      </c>
      <c r="JX11" s="11">
        <v>290567.0</v>
      </c>
      <c r="JY11" s="11">
        <v>512707.0</v>
      </c>
      <c r="JZ11" s="11">
        <v>184943.0</v>
      </c>
      <c r="KA11" s="11">
        <v>313164.0</v>
      </c>
      <c r="KB11" s="11">
        <v>283655.0</v>
      </c>
      <c r="KC11" s="11">
        <v>92996.0</v>
      </c>
      <c r="KD11" s="11">
        <v>153527.0</v>
      </c>
      <c r="KE11" s="11">
        <v>366023.0</v>
      </c>
      <c r="KF11" s="11">
        <v>290244.0</v>
      </c>
      <c r="KG11" s="11">
        <v>287667.0</v>
      </c>
      <c r="KH11" s="11">
        <v>430981.0</v>
      </c>
      <c r="KI11" s="11">
        <v>424399.0</v>
      </c>
      <c r="KJ11" s="11">
        <v>266193.0</v>
      </c>
      <c r="KK11" s="11">
        <v>259415.0</v>
      </c>
      <c r="KL11" s="11">
        <v>177022.0</v>
      </c>
      <c r="KM11" s="11">
        <v>409557.0</v>
      </c>
      <c r="KN11" s="11">
        <v>524711.0</v>
      </c>
      <c r="KO11" s="11">
        <v>280632.0</v>
      </c>
      <c r="KP11" s="11">
        <v>265967.0</v>
      </c>
      <c r="KQ11" s="11">
        <v>332432.0</v>
      </c>
      <c r="KR11" s="11">
        <v>252059.0</v>
      </c>
      <c r="KS11" s="11">
        <v>90617.0</v>
      </c>
      <c r="KT11" s="11">
        <v>409920.0</v>
      </c>
      <c r="KU11" s="11">
        <v>446964.0</v>
      </c>
      <c r="KV11" s="11">
        <v>389199.0</v>
      </c>
      <c r="KW11" s="11">
        <v>301235.0</v>
      </c>
      <c r="KX11" s="11">
        <v>245930.0</v>
      </c>
      <c r="KY11" s="11">
        <v>187816.0</v>
      </c>
      <c r="KZ11" s="11">
        <v>313132.0</v>
      </c>
      <c r="LA11" s="11">
        <v>275507.0</v>
      </c>
      <c r="LB11" s="11">
        <v>313333.0</v>
      </c>
      <c r="LC11" s="11">
        <v>386595.0</v>
      </c>
      <c r="LD11" s="11">
        <v>419801.0</v>
      </c>
      <c r="LE11" s="11">
        <v>345380.0</v>
      </c>
      <c r="LF11" s="11">
        <v>320149.0</v>
      </c>
      <c r="LG11" s="11">
        <v>257287.0</v>
      </c>
      <c r="LH11" s="11">
        <v>317522.0</v>
      </c>
      <c r="LI11" s="11">
        <v>202940.0</v>
      </c>
      <c r="LJ11" s="11">
        <v>184963.0</v>
      </c>
      <c r="LK11" s="11">
        <v>359670.0</v>
      </c>
      <c r="LL11" s="11">
        <v>375057.0</v>
      </c>
      <c r="LM11" s="11">
        <v>309616.0</v>
      </c>
      <c r="LN11" s="11">
        <v>170085.0</v>
      </c>
      <c r="LO11" s="11">
        <v>232144.0</v>
      </c>
      <c r="LP11" s="11">
        <v>407029.0</v>
      </c>
      <c r="LQ11" s="11">
        <v>386442.0</v>
      </c>
      <c r="LR11" s="11">
        <v>161659.0</v>
      </c>
      <c r="LS11" s="11">
        <v>223423.0</v>
      </c>
      <c r="LT11" s="11">
        <v>465357.0</v>
      </c>
      <c r="LU11" s="11">
        <v>189220.0</v>
      </c>
      <c r="LV11" s="11">
        <v>300460.0</v>
      </c>
      <c r="LW11" s="11">
        <v>82115.0</v>
      </c>
      <c r="LX11" s="11">
        <v>504083.0</v>
      </c>
      <c r="LY11" s="11">
        <v>315631.0</v>
      </c>
      <c r="LZ11" s="11">
        <v>422402.0</v>
      </c>
      <c r="MA11" s="11">
        <v>341795.0</v>
      </c>
      <c r="MB11" s="11">
        <v>79460.0</v>
      </c>
      <c r="MC11" s="11">
        <v>553716.0</v>
      </c>
      <c r="MD11" s="11">
        <v>93025.0</v>
      </c>
      <c r="ME11" s="11">
        <v>130157.0</v>
      </c>
      <c r="MF11" s="11">
        <v>291197.0</v>
      </c>
      <c r="MG11" s="11">
        <v>388411.0</v>
      </c>
      <c r="MH11" s="11">
        <v>254298.0</v>
      </c>
      <c r="MI11" s="11">
        <v>524544.0</v>
      </c>
      <c r="MJ11" s="11">
        <v>171415.0</v>
      </c>
      <c r="MK11" s="11">
        <v>122079.0</v>
      </c>
      <c r="ML11" s="11">
        <v>440992.0</v>
      </c>
      <c r="MM11" s="11">
        <v>174173.0</v>
      </c>
      <c r="MN11" s="11">
        <v>240601.0</v>
      </c>
      <c r="MO11" s="11">
        <v>304293.0</v>
      </c>
      <c r="MP11" s="11">
        <v>416422.0</v>
      </c>
      <c r="MQ11" s="11">
        <v>542790.0</v>
      </c>
      <c r="MR11" s="11">
        <v>398879.0</v>
      </c>
      <c r="MS11" s="11">
        <v>82104.0</v>
      </c>
      <c r="MT11" s="11">
        <v>435239.0</v>
      </c>
      <c r="MU11" s="11">
        <v>205971.0</v>
      </c>
      <c r="MV11" s="11">
        <v>165179.0</v>
      </c>
      <c r="MW11" s="11">
        <v>479373.0</v>
      </c>
      <c r="MX11" s="11">
        <v>316638.0</v>
      </c>
      <c r="MY11" s="11">
        <v>291463.0</v>
      </c>
      <c r="MZ11" s="11">
        <v>218559.0</v>
      </c>
      <c r="NA11" s="11">
        <v>157863.0</v>
      </c>
      <c r="NB11" s="12">
        <v>522151.0</v>
      </c>
    </row>
    <row r="12">
      <c r="A12" s="8">
        <v>1.0</v>
      </c>
      <c r="B12" s="9" t="s">
        <v>372</v>
      </c>
      <c r="C12" s="10">
        <v>0.0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2858.0</v>
      </c>
      <c r="M12" s="11">
        <v>54533.0</v>
      </c>
      <c r="N12" s="11">
        <v>18111.0</v>
      </c>
      <c r="O12" s="11">
        <v>62212.0</v>
      </c>
      <c r="P12" s="11">
        <v>56906.0</v>
      </c>
      <c r="Q12" s="11">
        <v>49996.0</v>
      </c>
      <c r="R12" s="11">
        <v>53208.0</v>
      </c>
      <c r="S12" s="11">
        <v>0.0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23257.0</v>
      </c>
      <c r="Z12" s="11">
        <v>7246.0</v>
      </c>
      <c r="AA12" s="11">
        <v>107992.0</v>
      </c>
      <c r="AB12" s="11">
        <v>0.0</v>
      </c>
      <c r="AC12" s="11">
        <v>0.0</v>
      </c>
      <c r="AD12" s="11">
        <v>0.0</v>
      </c>
      <c r="AE12" s="11">
        <v>3000.0</v>
      </c>
      <c r="AF12" s="11">
        <v>49874.0</v>
      </c>
      <c r="AG12" s="11">
        <v>0.0</v>
      </c>
      <c r="AH12" s="11">
        <v>5996.0</v>
      </c>
      <c r="AI12" s="11">
        <v>23256.0</v>
      </c>
      <c r="AJ12" s="11">
        <v>0.0</v>
      </c>
      <c r="AK12" s="11">
        <v>29121.0</v>
      </c>
      <c r="AL12" s="11">
        <v>0.0</v>
      </c>
      <c r="AM12" s="11">
        <v>99870.0</v>
      </c>
      <c r="AN12" s="11">
        <v>7237.0</v>
      </c>
      <c r="AO12" s="11">
        <v>234504.0</v>
      </c>
      <c r="AP12" s="11">
        <v>57206.0</v>
      </c>
      <c r="AQ12" s="11">
        <v>0.0</v>
      </c>
      <c r="AR12" s="11">
        <v>7237.0</v>
      </c>
      <c r="AS12" s="11">
        <v>5996.0</v>
      </c>
      <c r="AT12" s="11">
        <v>54975.0</v>
      </c>
      <c r="AU12" s="11">
        <v>85114.0</v>
      </c>
      <c r="AV12" s="11">
        <v>105441.0</v>
      </c>
      <c r="AW12" s="11">
        <v>0.0</v>
      </c>
      <c r="AX12" s="11">
        <v>0.0</v>
      </c>
      <c r="AY12" s="11">
        <v>0.0</v>
      </c>
      <c r="AZ12" s="11">
        <v>169403.0</v>
      </c>
      <c r="BA12" s="11">
        <v>23292.0</v>
      </c>
      <c r="BB12" s="11">
        <v>26424.0</v>
      </c>
      <c r="BC12" s="11">
        <v>29121.0</v>
      </c>
      <c r="BD12" s="11">
        <v>154674.0</v>
      </c>
      <c r="BE12" s="11">
        <v>55632.0</v>
      </c>
      <c r="BF12" s="11">
        <v>50357.0</v>
      </c>
      <c r="BG12" s="11">
        <v>0.0</v>
      </c>
      <c r="BH12" s="11">
        <v>23292.0</v>
      </c>
      <c r="BI12" s="11">
        <v>0.0</v>
      </c>
      <c r="BJ12" s="11">
        <v>134479.0</v>
      </c>
      <c r="BK12" s="11">
        <v>0.0</v>
      </c>
      <c r="BL12" s="11">
        <v>99300.0</v>
      </c>
      <c r="BM12" s="11">
        <v>0.0</v>
      </c>
      <c r="BN12" s="11">
        <v>23503.0</v>
      </c>
      <c r="BO12" s="11">
        <v>113063.0</v>
      </c>
      <c r="BP12" s="11">
        <v>0.0</v>
      </c>
      <c r="BQ12" s="11">
        <v>0.0</v>
      </c>
      <c r="BR12" s="11">
        <v>0.0</v>
      </c>
      <c r="BS12" s="11">
        <v>0.0</v>
      </c>
      <c r="BT12" s="11">
        <v>49301.0</v>
      </c>
      <c r="BU12" s="11">
        <v>49679.0</v>
      </c>
      <c r="BV12" s="11">
        <v>0.0</v>
      </c>
      <c r="BW12" s="11">
        <v>49849.0</v>
      </c>
      <c r="BX12" s="11">
        <v>0.0</v>
      </c>
      <c r="BY12" s="11">
        <v>54534.0</v>
      </c>
      <c r="BZ12" s="11">
        <v>0.0</v>
      </c>
      <c r="CA12" s="11">
        <v>0.0</v>
      </c>
      <c r="CB12" s="11">
        <v>49242.0</v>
      </c>
      <c r="CC12" s="11">
        <v>0.0</v>
      </c>
      <c r="CD12" s="11">
        <v>0.0</v>
      </c>
      <c r="CE12" s="11">
        <v>49849.0</v>
      </c>
      <c r="CF12" s="11">
        <v>56824.0</v>
      </c>
      <c r="CG12" s="11">
        <v>0.0</v>
      </c>
      <c r="CH12" s="11">
        <v>0.0</v>
      </c>
      <c r="CI12" s="11">
        <v>100714.0</v>
      </c>
      <c r="CJ12" s="11">
        <v>0.0</v>
      </c>
      <c r="CK12" s="11">
        <v>63919.0</v>
      </c>
      <c r="CL12" s="11">
        <v>196623.0</v>
      </c>
      <c r="CM12" s="11">
        <v>318977.0</v>
      </c>
      <c r="CN12" s="11">
        <v>471065.0</v>
      </c>
      <c r="CO12" s="11">
        <v>198271.0</v>
      </c>
      <c r="CP12" s="11">
        <v>429929.0</v>
      </c>
      <c r="CQ12" s="11">
        <v>270754.0</v>
      </c>
      <c r="CR12" s="11">
        <v>322807.0</v>
      </c>
      <c r="CS12" s="11">
        <v>349931.0</v>
      </c>
      <c r="CT12" s="11">
        <v>408170.0</v>
      </c>
      <c r="CU12" s="11">
        <v>133404.0</v>
      </c>
      <c r="CV12" s="11">
        <v>335199.0</v>
      </c>
      <c r="CW12" s="11">
        <v>301136.0</v>
      </c>
      <c r="CX12" s="11">
        <v>494116.0</v>
      </c>
      <c r="CY12" s="11">
        <v>336921.0</v>
      </c>
      <c r="CZ12" s="11">
        <v>364432.0</v>
      </c>
      <c r="DA12" s="11">
        <v>298444.0</v>
      </c>
      <c r="DB12" s="11">
        <v>269294.0</v>
      </c>
      <c r="DC12" s="11">
        <v>492593.0</v>
      </c>
      <c r="DD12" s="11">
        <v>273620.0</v>
      </c>
      <c r="DE12" s="11">
        <v>228532.0</v>
      </c>
      <c r="DF12" s="11">
        <v>330256.0</v>
      </c>
      <c r="DG12" s="11">
        <v>332290.0</v>
      </c>
      <c r="DH12" s="11">
        <v>218436.0</v>
      </c>
      <c r="DI12" s="11">
        <v>377021.0</v>
      </c>
      <c r="DJ12" s="11">
        <v>458003.0</v>
      </c>
      <c r="DK12" s="11">
        <v>464145.0</v>
      </c>
      <c r="DL12" s="11">
        <v>339153.0</v>
      </c>
      <c r="DM12" s="11">
        <v>143870.0</v>
      </c>
      <c r="DN12" s="11">
        <v>541894.0</v>
      </c>
      <c r="DO12" s="11">
        <v>333857.0</v>
      </c>
      <c r="DP12" s="11">
        <v>470322.0</v>
      </c>
      <c r="DQ12" s="11">
        <v>291836.0</v>
      </c>
      <c r="DR12" s="11">
        <v>212204.0</v>
      </c>
      <c r="DS12" s="11">
        <v>158326.0</v>
      </c>
      <c r="DT12" s="11">
        <v>342346.0</v>
      </c>
      <c r="DU12" s="11">
        <v>458711.0</v>
      </c>
      <c r="DV12" s="11">
        <v>104779.0</v>
      </c>
      <c r="DW12" s="11">
        <v>211738.0</v>
      </c>
      <c r="DX12" s="11">
        <v>292074.0</v>
      </c>
      <c r="DY12" s="11">
        <v>252531.0</v>
      </c>
      <c r="DZ12" s="11">
        <v>88832.0</v>
      </c>
      <c r="EA12" s="11">
        <v>284146.0</v>
      </c>
      <c r="EB12" s="11">
        <v>258250.0</v>
      </c>
      <c r="EC12" s="11">
        <v>163491.0</v>
      </c>
      <c r="ED12" s="11">
        <v>398868.0</v>
      </c>
      <c r="EE12" s="11">
        <v>409405.0</v>
      </c>
      <c r="EF12" s="11">
        <v>220791.0</v>
      </c>
      <c r="EG12" s="11">
        <v>350035.0</v>
      </c>
      <c r="EH12" s="11">
        <v>303473.0</v>
      </c>
      <c r="EI12" s="11">
        <v>212628.0</v>
      </c>
      <c r="EJ12" s="11">
        <v>424798.0</v>
      </c>
      <c r="EK12" s="11">
        <v>166699.0</v>
      </c>
      <c r="EL12" s="11">
        <v>234412.0</v>
      </c>
      <c r="EM12" s="11">
        <v>305088.0</v>
      </c>
      <c r="EN12" s="11">
        <v>320386.0</v>
      </c>
      <c r="EO12" s="11">
        <v>578214.0</v>
      </c>
      <c r="EP12" s="11">
        <v>354513.0</v>
      </c>
      <c r="EQ12" s="11">
        <v>259568.0</v>
      </c>
      <c r="ER12" s="11">
        <v>526721.0</v>
      </c>
      <c r="ES12" s="11">
        <v>161219.0</v>
      </c>
      <c r="ET12" s="11">
        <v>150872.0</v>
      </c>
      <c r="EU12" s="11">
        <v>217036.0</v>
      </c>
      <c r="EV12" s="11">
        <v>80994.0</v>
      </c>
      <c r="EW12" s="11">
        <v>448124.0</v>
      </c>
      <c r="EX12" s="11">
        <v>188204.0</v>
      </c>
      <c r="EY12" s="11">
        <v>309038.0</v>
      </c>
      <c r="EZ12" s="11">
        <v>295100.0</v>
      </c>
      <c r="FA12" s="11">
        <v>383659.0</v>
      </c>
      <c r="FB12" s="11">
        <v>327135.0</v>
      </c>
      <c r="FC12" s="11">
        <v>234528.0</v>
      </c>
      <c r="FD12" s="11">
        <v>253414.0</v>
      </c>
      <c r="FE12" s="11">
        <v>269767.0</v>
      </c>
      <c r="FF12" s="11">
        <v>554085.0</v>
      </c>
      <c r="FG12" s="11">
        <v>177526.0</v>
      </c>
      <c r="FH12" s="11">
        <v>320634.0</v>
      </c>
      <c r="FI12" s="11">
        <v>219251.0</v>
      </c>
      <c r="FJ12" s="11">
        <v>243886.0</v>
      </c>
      <c r="FK12" s="11">
        <v>188208.0</v>
      </c>
      <c r="FL12" s="11">
        <v>401065.0</v>
      </c>
      <c r="FM12" s="11">
        <v>272322.0</v>
      </c>
      <c r="FN12" s="11">
        <v>199617.0</v>
      </c>
      <c r="FO12" s="11">
        <v>371675.0</v>
      </c>
      <c r="FP12" s="11">
        <v>230679.0</v>
      </c>
      <c r="FQ12" s="11">
        <v>119627.0</v>
      </c>
      <c r="FR12" s="11">
        <v>285594.0</v>
      </c>
      <c r="FS12" s="11">
        <v>179348.0</v>
      </c>
      <c r="FT12" s="11">
        <v>315476.0</v>
      </c>
      <c r="FU12" s="11">
        <v>189407.0</v>
      </c>
      <c r="FV12" s="11">
        <v>375365.0</v>
      </c>
      <c r="FW12" s="11">
        <v>138489.0</v>
      </c>
      <c r="FX12" s="11">
        <v>261379.0</v>
      </c>
      <c r="FY12" s="11">
        <v>421779.0</v>
      </c>
      <c r="FZ12" s="11">
        <v>99731.0</v>
      </c>
      <c r="GA12" s="11">
        <v>199271.0</v>
      </c>
      <c r="GB12" s="11">
        <v>257615.0</v>
      </c>
      <c r="GC12" s="11">
        <v>204301.0</v>
      </c>
      <c r="GD12" s="11">
        <v>370149.0</v>
      </c>
      <c r="GE12" s="11">
        <v>556975.0</v>
      </c>
      <c r="GF12" s="11">
        <v>197275.0</v>
      </c>
      <c r="GG12" s="11">
        <v>357794.0</v>
      </c>
      <c r="GH12" s="11">
        <v>445359.0</v>
      </c>
      <c r="GI12" s="11">
        <v>346720.0</v>
      </c>
      <c r="GJ12" s="11">
        <v>61130.0</v>
      </c>
      <c r="GK12" s="11">
        <v>447293.0</v>
      </c>
      <c r="GL12" s="11">
        <v>157765.0</v>
      </c>
      <c r="GM12" s="11">
        <v>341040.0</v>
      </c>
      <c r="GN12" s="11">
        <v>414407.0</v>
      </c>
      <c r="GO12" s="11">
        <v>139498.0</v>
      </c>
      <c r="GP12" s="11">
        <v>284438.0</v>
      </c>
      <c r="GQ12" s="11">
        <v>305519.0</v>
      </c>
      <c r="GR12" s="11">
        <v>301198.0</v>
      </c>
      <c r="GS12" s="11">
        <v>343972.0</v>
      </c>
      <c r="GT12" s="11">
        <v>473061.0</v>
      </c>
      <c r="GU12" s="11">
        <v>216388.0</v>
      </c>
      <c r="GV12" s="11">
        <v>441274.0</v>
      </c>
      <c r="GW12" s="11">
        <v>482124.0</v>
      </c>
      <c r="GX12" s="11">
        <v>381197.0</v>
      </c>
      <c r="GY12" s="11">
        <v>308977.0</v>
      </c>
      <c r="GZ12" s="11">
        <v>418960.0</v>
      </c>
      <c r="HA12" s="11">
        <v>336342.0</v>
      </c>
      <c r="HB12" s="11">
        <v>108594.0</v>
      </c>
      <c r="HC12" s="11">
        <v>380264.0</v>
      </c>
      <c r="HD12" s="11">
        <v>415280.0</v>
      </c>
      <c r="HE12" s="11">
        <v>363309.0</v>
      </c>
      <c r="HF12" s="11">
        <v>299352.0</v>
      </c>
      <c r="HG12" s="11">
        <v>125201.0</v>
      </c>
      <c r="HH12" s="11">
        <v>359984.0</v>
      </c>
      <c r="HI12" s="11">
        <v>466925.0</v>
      </c>
      <c r="HJ12" s="11">
        <v>282274.0</v>
      </c>
      <c r="HK12" s="11">
        <v>396651.0</v>
      </c>
      <c r="HL12" s="11">
        <v>326252.0</v>
      </c>
      <c r="HM12" s="11">
        <v>159366.0</v>
      </c>
      <c r="HN12" s="11">
        <v>387460.0</v>
      </c>
      <c r="HO12" s="11">
        <v>166872.0</v>
      </c>
      <c r="HP12" s="11">
        <v>276631.0</v>
      </c>
      <c r="HQ12" s="11">
        <v>356526.0</v>
      </c>
      <c r="HR12" s="11">
        <v>292835.0</v>
      </c>
      <c r="HS12" s="11">
        <v>332571.0</v>
      </c>
      <c r="HT12" s="11">
        <v>395730.0</v>
      </c>
      <c r="HU12" s="11">
        <v>233547.0</v>
      </c>
      <c r="HV12" s="11">
        <v>349270.0</v>
      </c>
      <c r="HW12" s="11">
        <v>394926.0</v>
      </c>
      <c r="HX12" s="11">
        <v>159064.0</v>
      </c>
      <c r="HY12" s="11">
        <v>334522.0</v>
      </c>
      <c r="HZ12" s="11">
        <v>146691.0</v>
      </c>
      <c r="IA12" s="11">
        <v>78865.0</v>
      </c>
      <c r="IB12" s="11">
        <v>92691.0</v>
      </c>
      <c r="IC12" s="11">
        <v>781771.0</v>
      </c>
      <c r="ID12" s="11">
        <v>256075.0</v>
      </c>
      <c r="IE12" s="11">
        <v>348250.0</v>
      </c>
      <c r="IF12" s="11">
        <v>233570.0</v>
      </c>
      <c r="IG12" s="11">
        <v>321678.0</v>
      </c>
      <c r="IH12" s="11">
        <v>445751.0</v>
      </c>
      <c r="II12" s="11">
        <v>310840.0</v>
      </c>
      <c r="IJ12" s="11">
        <v>509454.0</v>
      </c>
      <c r="IK12" s="11">
        <v>328935.0</v>
      </c>
      <c r="IL12" s="11">
        <v>296736.0</v>
      </c>
      <c r="IM12" s="11">
        <v>356906.0</v>
      </c>
      <c r="IN12" s="11">
        <v>515542.0</v>
      </c>
      <c r="IO12" s="11">
        <v>414268.0</v>
      </c>
      <c r="IP12" s="11">
        <v>461094.0</v>
      </c>
      <c r="IQ12" s="11">
        <v>404451.0</v>
      </c>
      <c r="IR12" s="11">
        <v>401518.0</v>
      </c>
      <c r="IS12" s="11">
        <v>272153.0</v>
      </c>
      <c r="IT12" s="11">
        <v>426619.0</v>
      </c>
      <c r="IU12" s="11">
        <v>365179.0</v>
      </c>
      <c r="IV12" s="11">
        <v>470050.0</v>
      </c>
      <c r="IW12" s="11">
        <v>336119.0</v>
      </c>
      <c r="IX12" s="11">
        <v>463341.0</v>
      </c>
      <c r="IY12" s="11">
        <v>394331.0</v>
      </c>
      <c r="IZ12" s="11">
        <v>174155.0</v>
      </c>
      <c r="JA12" s="11">
        <v>240569.0</v>
      </c>
      <c r="JB12" s="11">
        <v>473917.0</v>
      </c>
      <c r="JC12" s="11">
        <v>242767.0</v>
      </c>
      <c r="JD12" s="11">
        <v>432681.0</v>
      </c>
      <c r="JE12" s="11">
        <v>216208.0</v>
      </c>
      <c r="JF12" s="11">
        <v>449637.0</v>
      </c>
      <c r="JG12" s="11">
        <v>497930.0</v>
      </c>
      <c r="JH12" s="11">
        <v>252133.0</v>
      </c>
      <c r="JI12" s="11">
        <v>272655.0</v>
      </c>
      <c r="JJ12" s="11">
        <v>285430.0</v>
      </c>
      <c r="JK12" s="11">
        <v>228460.0</v>
      </c>
      <c r="JL12" s="11">
        <v>301153.0</v>
      </c>
      <c r="JM12" s="11">
        <v>226651.0</v>
      </c>
      <c r="JN12" s="11">
        <v>392946.0</v>
      </c>
      <c r="JO12" s="11">
        <v>319948.0</v>
      </c>
      <c r="JP12" s="11">
        <v>309131.0</v>
      </c>
      <c r="JQ12" s="11">
        <v>583731.0</v>
      </c>
      <c r="JR12" s="11">
        <v>368904.0</v>
      </c>
      <c r="JS12" s="11">
        <v>250679.0</v>
      </c>
      <c r="JT12" s="11">
        <v>358082.0</v>
      </c>
      <c r="JU12" s="11">
        <v>335781.0</v>
      </c>
      <c r="JV12" s="11">
        <v>321296.0</v>
      </c>
      <c r="JW12" s="11">
        <v>306070.0</v>
      </c>
      <c r="JX12" s="11">
        <v>411839.0</v>
      </c>
      <c r="JY12" s="11">
        <v>331938.0</v>
      </c>
      <c r="JZ12" s="11">
        <v>471993.0</v>
      </c>
      <c r="KA12" s="11">
        <v>416542.0</v>
      </c>
      <c r="KB12" s="11">
        <v>357210.0</v>
      </c>
      <c r="KC12" s="11">
        <v>263187.0</v>
      </c>
      <c r="KD12" s="11">
        <v>332552.0</v>
      </c>
      <c r="KE12" s="11">
        <v>199411.0</v>
      </c>
      <c r="KF12" s="11">
        <v>393541.0</v>
      </c>
      <c r="KG12" s="11">
        <v>558186.0</v>
      </c>
      <c r="KH12" s="11">
        <v>249711.0</v>
      </c>
      <c r="KI12" s="11">
        <v>88784.0</v>
      </c>
      <c r="KJ12" s="11">
        <v>447261.0</v>
      </c>
      <c r="KK12" s="11">
        <v>348756.0</v>
      </c>
      <c r="KL12" s="11">
        <v>243642.0</v>
      </c>
      <c r="KM12" s="11">
        <v>475000.0</v>
      </c>
      <c r="KN12" s="11">
        <v>254525.0</v>
      </c>
      <c r="KO12" s="11">
        <v>258463.0</v>
      </c>
      <c r="KP12" s="11">
        <v>296429.0</v>
      </c>
      <c r="KQ12" s="11">
        <v>140133.0</v>
      </c>
      <c r="KR12" s="11">
        <v>478760.0</v>
      </c>
      <c r="KS12" s="11">
        <v>470868.0</v>
      </c>
      <c r="KT12" s="11">
        <v>236124.0</v>
      </c>
      <c r="KU12" s="11">
        <v>387602.0</v>
      </c>
      <c r="KV12" s="11">
        <v>358612.0</v>
      </c>
      <c r="KW12" s="11">
        <v>220988.0</v>
      </c>
      <c r="KX12" s="11">
        <v>293346.0</v>
      </c>
      <c r="KY12" s="11">
        <v>372066.0</v>
      </c>
      <c r="KZ12" s="11">
        <v>402836.0</v>
      </c>
      <c r="LA12" s="11">
        <v>226905.0</v>
      </c>
      <c r="LB12" s="11">
        <v>242860.0</v>
      </c>
      <c r="LC12" s="11">
        <v>333239.0</v>
      </c>
      <c r="LD12" s="11">
        <v>509258.0</v>
      </c>
      <c r="LE12" s="11">
        <v>295219.0</v>
      </c>
      <c r="LF12" s="11">
        <v>527539.0</v>
      </c>
      <c r="LG12" s="11">
        <v>283335.0</v>
      </c>
      <c r="LH12" s="11">
        <v>309343.0</v>
      </c>
      <c r="LI12" s="11">
        <v>482226.0</v>
      </c>
      <c r="LJ12" s="11">
        <v>381249.0</v>
      </c>
      <c r="LK12" s="11">
        <v>143436.0</v>
      </c>
      <c r="LL12" s="11">
        <v>339796.0</v>
      </c>
      <c r="LM12" s="11">
        <v>289393.0</v>
      </c>
      <c r="LN12" s="11">
        <v>593115.0</v>
      </c>
      <c r="LO12" s="11">
        <v>354708.0</v>
      </c>
      <c r="LP12" s="11">
        <v>256422.0</v>
      </c>
      <c r="LQ12" s="11">
        <v>370524.0</v>
      </c>
      <c r="LR12" s="11">
        <v>554395.0</v>
      </c>
      <c r="LS12" s="11">
        <v>400235.0</v>
      </c>
      <c r="LT12" s="11">
        <v>53918.0</v>
      </c>
      <c r="LU12" s="11">
        <v>376374.0</v>
      </c>
      <c r="LV12" s="11">
        <v>358518.0</v>
      </c>
      <c r="LW12" s="11">
        <v>199013.0</v>
      </c>
      <c r="LX12" s="11">
        <v>436482.0</v>
      </c>
      <c r="LY12" s="11">
        <v>388893.0</v>
      </c>
      <c r="LZ12" s="11">
        <v>202007.0</v>
      </c>
      <c r="MA12" s="11">
        <v>340568.0</v>
      </c>
      <c r="MB12" s="11">
        <v>90854.0</v>
      </c>
      <c r="MC12" s="11">
        <v>338959.0</v>
      </c>
      <c r="MD12" s="11">
        <v>268691.0</v>
      </c>
      <c r="ME12" s="11">
        <v>215282.0</v>
      </c>
      <c r="MF12" s="11">
        <v>364628.0</v>
      </c>
      <c r="MG12" s="11">
        <v>234923.0</v>
      </c>
      <c r="MH12" s="11">
        <v>195167.0</v>
      </c>
      <c r="MI12" s="11">
        <v>364198.0</v>
      </c>
      <c r="MJ12" s="11">
        <v>531386.0</v>
      </c>
      <c r="MK12" s="11">
        <v>693630.0</v>
      </c>
      <c r="ML12" s="11">
        <v>309586.0</v>
      </c>
      <c r="MM12" s="11">
        <v>394013.0</v>
      </c>
      <c r="MN12" s="11">
        <v>58757.0</v>
      </c>
      <c r="MO12" s="11">
        <v>466480.0</v>
      </c>
      <c r="MP12" s="11">
        <v>619448.0</v>
      </c>
      <c r="MQ12" s="11">
        <v>171353.0</v>
      </c>
      <c r="MR12" s="11">
        <v>362306.0</v>
      </c>
      <c r="MS12" s="11">
        <v>162212.0</v>
      </c>
      <c r="MT12" s="11">
        <v>528237.0</v>
      </c>
      <c r="MU12" s="11">
        <v>335713.0</v>
      </c>
      <c r="MV12" s="11">
        <v>336397.0</v>
      </c>
      <c r="MW12" s="11">
        <v>309646.0</v>
      </c>
      <c r="MX12" s="11">
        <v>379013.0</v>
      </c>
      <c r="MY12" s="11">
        <v>259751.0</v>
      </c>
      <c r="MZ12" s="11">
        <v>633245.0</v>
      </c>
      <c r="NA12" s="11">
        <v>263959.0</v>
      </c>
      <c r="NB12" s="12">
        <v>514443.0</v>
      </c>
    </row>
    <row r="13">
      <c r="A13" s="8">
        <v>2.0</v>
      </c>
      <c r="B13" s="9" t="s">
        <v>368</v>
      </c>
      <c r="C13" s="10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54533.0</v>
      </c>
      <c r="N13" s="11">
        <v>0.0</v>
      </c>
      <c r="O13" s="11">
        <v>7237.0</v>
      </c>
      <c r="P13" s="11">
        <v>0.0</v>
      </c>
      <c r="Q13" s="11">
        <v>0.0</v>
      </c>
      <c r="R13" s="11">
        <v>0.0</v>
      </c>
      <c r="S13" s="11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7246.0</v>
      </c>
      <c r="AA13" s="11">
        <v>53208.0</v>
      </c>
      <c r="AB13" s="11">
        <v>0.0</v>
      </c>
      <c r="AC13" s="11">
        <v>0.0</v>
      </c>
      <c r="AD13" s="11">
        <v>0.0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49874.0</v>
      </c>
      <c r="AN13" s="11">
        <v>0.0</v>
      </c>
      <c r="AO13" s="11">
        <v>70581.0</v>
      </c>
      <c r="AP13" s="11">
        <v>57206.0</v>
      </c>
      <c r="AQ13" s="11">
        <v>0.0</v>
      </c>
      <c r="AR13" s="11">
        <v>7237.0</v>
      </c>
      <c r="AS13" s="11">
        <v>5996.0</v>
      </c>
      <c r="AT13" s="11">
        <v>54975.0</v>
      </c>
      <c r="AU13" s="11">
        <v>85114.0</v>
      </c>
      <c r="AV13" s="11">
        <v>49743.0</v>
      </c>
      <c r="AW13" s="11">
        <v>0.0</v>
      </c>
      <c r="AX13" s="11">
        <v>0.0</v>
      </c>
      <c r="AY13" s="11">
        <v>0.0</v>
      </c>
      <c r="AZ13" s="11">
        <v>0.0</v>
      </c>
      <c r="BA13" s="11">
        <v>0.0</v>
      </c>
      <c r="BB13" s="11">
        <v>0.0</v>
      </c>
      <c r="BC13" s="11">
        <v>29121.0</v>
      </c>
      <c r="BD13" s="11">
        <v>23256.0</v>
      </c>
      <c r="BE13" s="11">
        <v>55632.0</v>
      </c>
      <c r="BF13" s="11">
        <v>50357.0</v>
      </c>
      <c r="BG13" s="11">
        <v>0.0</v>
      </c>
      <c r="BH13" s="11">
        <v>23292.0</v>
      </c>
      <c r="BI13" s="11">
        <v>0.0</v>
      </c>
      <c r="BJ13" s="11">
        <v>17779.0</v>
      </c>
      <c r="BK13" s="11">
        <v>0.0</v>
      </c>
      <c r="BL13" s="11">
        <v>0.0</v>
      </c>
      <c r="BM13" s="11">
        <v>0.0</v>
      </c>
      <c r="BN13" s="11">
        <v>0.0</v>
      </c>
      <c r="BO13" s="11">
        <v>0.0</v>
      </c>
      <c r="BP13" s="11">
        <v>0.0</v>
      </c>
      <c r="BQ13" s="11">
        <v>0.0</v>
      </c>
      <c r="BR13" s="11">
        <v>0.0</v>
      </c>
      <c r="BS13" s="11">
        <v>0.0</v>
      </c>
      <c r="BT13" s="11">
        <v>49301.0</v>
      </c>
      <c r="BU13" s="11">
        <v>0.0</v>
      </c>
      <c r="BV13" s="11">
        <v>0.0</v>
      </c>
      <c r="BW13" s="11">
        <v>0.0</v>
      </c>
      <c r="BX13" s="11">
        <v>0.0</v>
      </c>
      <c r="BY13" s="11">
        <v>0.0</v>
      </c>
      <c r="BZ13" s="11">
        <v>0.0</v>
      </c>
      <c r="CA13" s="11">
        <v>0.0</v>
      </c>
      <c r="CB13" s="11">
        <v>0.0</v>
      </c>
      <c r="CC13" s="11">
        <v>0.0</v>
      </c>
      <c r="CD13" s="11">
        <v>0.0</v>
      </c>
      <c r="CE13" s="11">
        <v>49849.0</v>
      </c>
      <c r="CF13" s="11">
        <v>0.0</v>
      </c>
      <c r="CG13" s="11">
        <v>0.0</v>
      </c>
      <c r="CH13" s="11">
        <v>0.0</v>
      </c>
      <c r="CI13" s="11">
        <v>50357.0</v>
      </c>
      <c r="CJ13" s="11">
        <v>0.0</v>
      </c>
      <c r="CK13" s="11">
        <v>9052.0</v>
      </c>
      <c r="CL13" s="11">
        <v>80728.0</v>
      </c>
      <c r="CM13" s="11">
        <v>258344.0</v>
      </c>
      <c r="CN13" s="11">
        <v>280639.0</v>
      </c>
      <c r="CO13" s="11">
        <v>170167.0</v>
      </c>
      <c r="CP13" s="11">
        <v>235782.0</v>
      </c>
      <c r="CQ13" s="11">
        <v>113003.0</v>
      </c>
      <c r="CR13" s="11">
        <v>14541.0</v>
      </c>
      <c r="CS13" s="11">
        <v>137164.0</v>
      </c>
      <c r="CT13" s="11">
        <v>196720.0</v>
      </c>
      <c r="CU13" s="11">
        <v>78313.0</v>
      </c>
      <c r="CV13" s="11">
        <v>197178.0</v>
      </c>
      <c r="CW13" s="11">
        <v>219468.0</v>
      </c>
      <c r="CX13" s="11">
        <v>199916.0</v>
      </c>
      <c r="CY13" s="11">
        <v>126020.0</v>
      </c>
      <c r="CZ13" s="11">
        <v>284140.0</v>
      </c>
      <c r="DA13" s="11">
        <v>133586.0</v>
      </c>
      <c r="DB13" s="11">
        <v>108936.0</v>
      </c>
      <c r="DC13" s="11">
        <v>352359.0</v>
      </c>
      <c r="DD13" s="11">
        <v>217611.0</v>
      </c>
      <c r="DE13" s="11">
        <v>62039.0</v>
      </c>
      <c r="DF13" s="11">
        <v>104887.0</v>
      </c>
      <c r="DG13" s="11">
        <v>103927.0</v>
      </c>
      <c r="DH13" s="11">
        <v>73135.0</v>
      </c>
      <c r="DI13" s="11">
        <v>108587.0</v>
      </c>
      <c r="DJ13" s="11">
        <v>264860.0</v>
      </c>
      <c r="DK13" s="11">
        <v>292775.0</v>
      </c>
      <c r="DL13" s="11">
        <v>116518.0</v>
      </c>
      <c r="DM13" s="11">
        <v>58635.0</v>
      </c>
      <c r="DN13" s="11">
        <v>277319.0</v>
      </c>
      <c r="DO13" s="11">
        <v>135980.0</v>
      </c>
      <c r="DP13" s="11">
        <v>211076.0</v>
      </c>
      <c r="DQ13" s="11">
        <v>136638.0</v>
      </c>
      <c r="DR13" s="11">
        <v>103200.0</v>
      </c>
      <c r="DS13" s="11">
        <v>158326.0</v>
      </c>
      <c r="DT13" s="11">
        <v>170308.0</v>
      </c>
      <c r="DU13" s="11">
        <v>376095.0</v>
      </c>
      <c r="DV13" s="11">
        <v>49723.0</v>
      </c>
      <c r="DW13" s="11">
        <v>95862.0</v>
      </c>
      <c r="DX13" s="11">
        <v>133806.0</v>
      </c>
      <c r="DY13" s="11">
        <v>109675.0</v>
      </c>
      <c r="DZ13" s="11">
        <v>8556.0</v>
      </c>
      <c r="EA13" s="11">
        <v>186817.0</v>
      </c>
      <c r="EB13" s="11">
        <v>195062.0</v>
      </c>
      <c r="EC13" s="11">
        <v>108744.0</v>
      </c>
      <c r="ED13" s="11">
        <v>168611.0</v>
      </c>
      <c r="EE13" s="11">
        <v>291843.0</v>
      </c>
      <c r="EF13" s="11">
        <v>109323.0</v>
      </c>
      <c r="EG13" s="11">
        <v>117446.0</v>
      </c>
      <c r="EH13" s="11">
        <v>50966.0</v>
      </c>
      <c r="EI13" s="11">
        <v>108230.0</v>
      </c>
      <c r="EJ13" s="11">
        <v>117500.0</v>
      </c>
      <c r="EK13" s="11">
        <v>108135.0</v>
      </c>
      <c r="EL13" s="11">
        <v>76926.0</v>
      </c>
      <c r="EM13" s="11">
        <v>140488.0</v>
      </c>
      <c r="EN13" s="11">
        <v>130966.0</v>
      </c>
      <c r="EO13" s="11">
        <v>169328.0</v>
      </c>
      <c r="EP13" s="11">
        <v>245703.0</v>
      </c>
      <c r="EQ13" s="11">
        <v>225466.0</v>
      </c>
      <c r="ER13" s="11">
        <v>442026.0</v>
      </c>
      <c r="ES13" s="11">
        <v>103995.0</v>
      </c>
      <c r="ET13" s="11">
        <v>77709.0</v>
      </c>
      <c r="EU13" s="11">
        <v>104655.0</v>
      </c>
      <c r="EV13" s="11">
        <v>54633.0</v>
      </c>
      <c r="EW13" s="11">
        <v>190376.0</v>
      </c>
      <c r="EX13" s="11">
        <v>108029.0</v>
      </c>
      <c r="EY13" s="11">
        <v>173065.0</v>
      </c>
      <c r="EZ13" s="11">
        <v>110523.0</v>
      </c>
      <c r="FA13" s="11">
        <v>194387.0</v>
      </c>
      <c r="FB13" s="11">
        <v>165312.0</v>
      </c>
      <c r="FC13" s="11">
        <v>125715.0</v>
      </c>
      <c r="FD13" s="11">
        <v>235304.0</v>
      </c>
      <c r="FE13" s="11">
        <v>161936.0</v>
      </c>
      <c r="FF13" s="11">
        <v>229280.0</v>
      </c>
      <c r="FG13" s="11">
        <v>58690.0</v>
      </c>
      <c r="FH13" s="11">
        <v>131053.0</v>
      </c>
      <c r="FI13" s="11">
        <v>153285.0</v>
      </c>
      <c r="FJ13" s="11">
        <v>189385.0</v>
      </c>
      <c r="FK13" s="11">
        <v>161592.0</v>
      </c>
      <c r="FL13" s="11">
        <v>207245.0</v>
      </c>
      <c r="FM13" s="11">
        <v>100871.0</v>
      </c>
      <c r="FN13" s="11">
        <v>67329.0</v>
      </c>
      <c r="FO13" s="11">
        <v>174315.0</v>
      </c>
      <c r="FP13" s="11">
        <v>124263.0</v>
      </c>
      <c r="FQ13" s="11">
        <v>39290.0</v>
      </c>
      <c r="FR13" s="11">
        <v>121724.0</v>
      </c>
      <c r="FS13" s="11">
        <v>123251.0</v>
      </c>
      <c r="FT13" s="11">
        <v>189549.0</v>
      </c>
      <c r="FU13" s="11">
        <v>28447.0</v>
      </c>
      <c r="FV13" s="11">
        <v>186463.0</v>
      </c>
      <c r="FW13" s="11">
        <v>34255.0</v>
      </c>
      <c r="FX13" s="11">
        <v>31448.0</v>
      </c>
      <c r="FY13" s="11">
        <v>191611.0</v>
      </c>
      <c r="FZ13" s="11">
        <v>5996.0</v>
      </c>
      <c r="GA13" s="11">
        <v>86794.0</v>
      </c>
      <c r="GB13" s="11">
        <v>163651.0</v>
      </c>
      <c r="GC13" s="11">
        <v>84938.0</v>
      </c>
      <c r="GD13" s="11">
        <v>218375.0</v>
      </c>
      <c r="GE13" s="11">
        <v>252908.0</v>
      </c>
      <c r="GF13" s="11">
        <v>117820.0</v>
      </c>
      <c r="GG13" s="11">
        <v>212255.0</v>
      </c>
      <c r="GH13" s="11">
        <v>197798.0</v>
      </c>
      <c r="GI13" s="11">
        <v>204506.0</v>
      </c>
      <c r="GJ13" s="11">
        <v>53028.0</v>
      </c>
      <c r="GK13" s="11">
        <v>246862.0</v>
      </c>
      <c r="GL13" s="11">
        <v>76285.0</v>
      </c>
      <c r="GM13" s="11">
        <v>9591.0</v>
      </c>
      <c r="GN13" s="11">
        <v>131933.0</v>
      </c>
      <c r="GO13" s="11">
        <v>81354.0</v>
      </c>
      <c r="GP13" s="11">
        <v>75842.0</v>
      </c>
      <c r="GQ13" s="11">
        <v>209273.0</v>
      </c>
      <c r="GR13" s="11">
        <v>285123.0</v>
      </c>
      <c r="GS13" s="11">
        <v>90473.0</v>
      </c>
      <c r="GT13" s="11">
        <v>148354.0</v>
      </c>
      <c r="GU13" s="11">
        <v>68611.0</v>
      </c>
      <c r="GV13" s="11">
        <v>195062.0</v>
      </c>
      <c r="GW13" s="11">
        <v>233517.0</v>
      </c>
      <c r="GX13" s="11">
        <v>250103.0</v>
      </c>
      <c r="GY13" s="11">
        <v>308977.0</v>
      </c>
      <c r="GZ13" s="11">
        <v>221831.0</v>
      </c>
      <c r="HA13" s="11">
        <v>212821.0</v>
      </c>
      <c r="HB13" s="11">
        <v>54116.0</v>
      </c>
      <c r="HC13" s="11">
        <v>152437.0</v>
      </c>
      <c r="HD13" s="11">
        <v>249359.0</v>
      </c>
      <c r="HE13" s="11">
        <v>93826.0</v>
      </c>
      <c r="HF13" s="11">
        <v>264230.0</v>
      </c>
      <c r="HG13" s="11">
        <v>65850.0</v>
      </c>
      <c r="HH13" s="11">
        <v>222345.0</v>
      </c>
      <c r="HI13" s="11">
        <v>184714.0</v>
      </c>
      <c r="HJ13" s="11">
        <v>95198.0</v>
      </c>
      <c r="HK13" s="11">
        <v>311046.0</v>
      </c>
      <c r="HL13" s="11">
        <v>242496.0</v>
      </c>
      <c r="HM13" s="11">
        <v>42854.0</v>
      </c>
      <c r="HN13" s="11">
        <v>221786.0</v>
      </c>
      <c r="HO13" s="11">
        <v>30942.0</v>
      </c>
      <c r="HP13" s="11">
        <v>82193.0</v>
      </c>
      <c r="HQ13" s="11">
        <v>0.0</v>
      </c>
      <c r="HR13" s="11">
        <v>251431.0</v>
      </c>
      <c r="HS13" s="11">
        <v>201530.0</v>
      </c>
      <c r="HT13" s="11">
        <v>395730.0</v>
      </c>
      <c r="HU13" s="11">
        <v>122350.0</v>
      </c>
      <c r="HV13" s="11">
        <v>173655.0</v>
      </c>
      <c r="HW13" s="11">
        <v>154374.0</v>
      </c>
      <c r="HX13" s="11">
        <v>58981.0</v>
      </c>
      <c r="HY13" s="11">
        <v>26577.0</v>
      </c>
      <c r="HZ13" s="11">
        <v>135438.0</v>
      </c>
      <c r="IA13" s="11">
        <v>0.0</v>
      </c>
      <c r="IB13" s="11">
        <v>0.0</v>
      </c>
      <c r="IC13" s="11">
        <v>443640.0</v>
      </c>
      <c r="ID13" s="11">
        <v>139436.0</v>
      </c>
      <c r="IE13" s="11">
        <v>33907.0</v>
      </c>
      <c r="IF13" s="11">
        <v>183952.0</v>
      </c>
      <c r="IG13" s="11">
        <v>152164.0</v>
      </c>
      <c r="IH13" s="11">
        <v>229246.0</v>
      </c>
      <c r="II13" s="11">
        <v>140310.0</v>
      </c>
      <c r="IJ13" s="11">
        <v>203611.0</v>
      </c>
      <c r="IK13" s="11">
        <v>221379.0</v>
      </c>
      <c r="IL13" s="11">
        <v>108919.0</v>
      </c>
      <c r="IM13" s="11">
        <v>225431.0</v>
      </c>
      <c r="IN13" s="11">
        <v>310816.0</v>
      </c>
      <c r="IO13" s="11">
        <v>251408.0</v>
      </c>
      <c r="IP13" s="11">
        <v>155676.0</v>
      </c>
      <c r="IQ13" s="11">
        <v>295588.0</v>
      </c>
      <c r="IR13" s="11">
        <v>247186.0</v>
      </c>
      <c r="IS13" s="11">
        <v>58136.0</v>
      </c>
      <c r="IT13" s="11">
        <v>234889.0</v>
      </c>
      <c r="IU13" s="11">
        <v>136397.0</v>
      </c>
      <c r="IV13" s="11">
        <v>321532.0</v>
      </c>
      <c r="IW13" s="11">
        <v>169914.0</v>
      </c>
      <c r="IX13" s="11">
        <v>218944.0</v>
      </c>
      <c r="IY13" s="11">
        <v>296853.0</v>
      </c>
      <c r="IZ13" s="11">
        <v>49999.0</v>
      </c>
      <c r="JA13" s="11">
        <v>115145.0</v>
      </c>
      <c r="JB13" s="11">
        <v>91677.0</v>
      </c>
      <c r="JC13" s="11">
        <v>168773.0</v>
      </c>
      <c r="JD13" s="11">
        <v>201970.0</v>
      </c>
      <c r="JE13" s="11">
        <v>134584.0</v>
      </c>
      <c r="JF13" s="11">
        <v>163144.0</v>
      </c>
      <c r="JG13" s="11">
        <v>296511.0</v>
      </c>
      <c r="JH13" s="11">
        <v>143071.0</v>
      </c>
      <c r="JI13" s="11">
        <v>99354.0</v>
      </c>
      <c r="JJ13" s="11">
        <v>201623.0</v>
      </c>
      <c r="JK13" s="11">
        <v>148735.0</v>
      </c>
      <c r="JL13" s="11">
        <v>104489.0</v>
      </c>
      <c r="JM13" s="11">
        <v>99701.0</v>
      </c>
      <c r="JN13" s="11">
        <v>83752.0</v>
      </c>
      <c r="JO13" s="11">
        <v>227662.0</v>
      </c>
      <c r="JP13" s="11">
        <v>109110.0</v>
      </c>
      <c r="JQ13" s="11">
        <v>389045.0</v>
      </c>
      <c r="JR13" s="11">
        <v>204604.0</v>
      </c>
      <c r="JS13" s="11">
        <v>168737.0</v>
      </c>
      <c r="JT13" s="11">
        <v>188136.0</v>
      </c>
      <c r="JU13" s="11">
        <v>226744.0</v>
      </c>
      <c r="JV13" s="11">
        <v>113018.0</v>
      </c>
      <c r="JW13" s="11">
        <v>68207.0</v>
      </c>
      <c r="JX13" s="11">
        <v>161844.0</v>
      </c>
      <c r="JY13" s="11">
        <v>195304.0</v>
      </c>
      <c r="JZ13" s="11">
        <v>288182.0</v>
      </c>
      <c r="KA13" s="11">
        <v>225593.0</v>
      </c>
      <c r="KB13" s="11">
        <v>140202.0</v>
      </c>
      <c r="KC13" s="11">
        <v>88155.0</v>
      </c>
      <c r="KD13" s="11">
        <v>180185.0</v>
      </c>
      <c r="KE13" s="11">
        <v>80278.0</v>
      </c>
      <c r="KF13" s="11">
        <v>271522.0</v>
      </c>
      <c r="KG13" s="11">
        <v>114531.0</v>
      </c>
      <c r="KH13" s="11">
        <v>223177.0</v>
      </c>
      <c r="KI13" s="11">
        <v>34294.0</v>
      </c>
      <c r="KJ13" s="11">
        <v>301014.0</v>
      </c>
      <c r="KK13" s="11">
        <v>205750.0</v>
      </c>
      <c r="KL13" s="11">
        <v>178877.0</v>
      </c>
      <c r="KM13" s="11">
        <v>181704.0</v>
      </c>
      <c r="KN13" s="11">
        <v>60139.0</v>
      </c>
      <c r="KO13" s="11">
        <v>81247.0</v>
      </c>
      <c r="KP13" s="11">
        <v>232383.0</v>
      </c>
      <c r="KQ13" s="11">
        <v>140133.0</v>
      </c>
      <c r="KR13" s="11">
        <v>271290.0</v>
      </c>
      <c r="KS13" s="11">
        <v>199210.0</v>
      </c>
      <c r="KT13" s="11">
        <v>99740.0</v>
      </c>
      <c r="KU13" s="11">
        <v>159255.0</v>
      </c>
      <c r="KV13" s="11">
        <v>188494.0</v>
      </c>
      <c r="KW13" s="11">
        <v>139107.0</v>
      </c>
      <c r="KX13" s="11">
        <v>131689.0</v>
      </c>
      <c r="KY13" s="11">
        <v>163458.0</v>
      </c>
      <c r="KZ13" s="11">
        <v>252873.0</v>
      </c>
      <c r="LA13" s="11">
        <v>70873.0</v>
      </c>
      <c r="LB13" s="11">
        <v>102972.0</v>
      </c>
      <c r="LC13" s="11">
        <v>216650.0</v>
      </c>
      <c r="LD13" s="11">
        <v>283036.0</v>
      </c>
      <c r="LE13" s="11">
        <v>141969.0</v>
      </c>
      <c r="LF13" s="11">
        <v>131318.0</v>
      </c>
      <c r="LG13" s="11">
        <v>111575.0</v>
      </c>
      <c r="LH13" s="11">
        <v>173456.0</v>
      </c>
      <c r="LI13" s="11">
        <v>353937.0</v>
      </c>
      <c r="LJ13" s="11">
        <v>168639.0</v>
      </c>
      <c r="LK13" s="11">
        <v>83426.0</v>
      </c>
      <c r="LL13" s="11">
        <v>162233.0</v>
      </c>
      <c r="LM13" s="11">
        <v>152082.0</v>
      </c>
      <c r="LN13" s="11">
        <v>324098.0</v>
      </c>
      <c r="LO13" s="11">
        <v>166670.0</v>
      </c>
      <c r="LP13" s="11">
        <v>56927.0</v>
      </c>
      <c r="LQ13" s="11">
        <v>142728.0</v>
      </c>
      <c r="LR13" s="11">
        <v>360684.0</v>
      </c>
      <c r="LS13" s="11">
        <v>248687.0</v>
      </c>
      <c r="LT13" s="11">
        <v>43320.0</v>
      </c>
      <c r="LU13" s="11">
        <v>123860.0</v>
      </c>
      <c r="LV13" s="11">
        <v>285995.0</v>
      </c>
      <c r="LW13" s="11">
        <v>8545.0</v>
      </c>
      <c r="LX13" s="11">
        <v>220254.0</v>
      </c>
      <c r="LY13" s="11">
        <v>158580.0</v>
      </c>
      <c r="LZ13" s="11">
        <v>166843.0</v>
      </c>
      <c r="MA13" s="11">
        <v>194033.0</v>
      </c>
      <c r="MB13" s="11">
        <v>26634.0</v>
      </c>
      <c r="MC13" s="11">
        <v>170773.0</v>
      </c>
      <c r="MD13" s="11">
        <v>190746.0</v>
      </c>
      <c r="ME13" s="11">
        <v>132706.0</v>
      </c>
      <c r="MF13" s="11">
        <v>123527.0</v>
      </c>
      <c r="MG13" s="11">
        <v>179957.0</v>
      </c>
      <c r="MH13" s="11">
        <v>29649.0</v>
      </c>
      <c r="MI13" s="11">
        <v>140400.0</v>
      </c>
      <c r="MJ13" s="11">
        <v>292855.0</v>
      </c>
      <c r="MK13" s="11">
        <v>313370.0</v>
      </c>
      <c r="ML13" s="11">
        <v>202480.0</v>
      </c>
      <c r="MM13" s="11">
        <v>189329.0</v>
      </c>
      <c r="MN13" s="11">
        <v>58757.0</v>
      </c>
      <c r="MO13" s="11">
        <v>145467.0</v>
      </c>
      <c r="MP13" s="11">
        <v>331340.0</v>
      </c>
      <c r="MQ13" s="11">
        <v>0.0</v>
      </c>
      <c r="MR13" s="11">
        <v>201888.0</v>
      </c>
      <c r="MS13" s="11">
        <v>67578.0</v>
      </c>
      <c r="MT13" s="11">
        <v>419712.0</v>
      </c>
      <c r="MU13" s="11">
        <v>131879.0</v>
      </c>
      <c r="MV13" s="11">
        <v>104896.0</v>
      </c>
      <c r="MW13" s="11">
        <v>186643.0</v>
      </c>
      <c r="MX13" s="11">
        <v>242740.0</v>
      </c>
      <c r="MY13" s="11">
        <v>109451.0</v>
      </c>
      <c r="MZ13" s="11">
        <v>311700.0</v>
      </c>
      <c r="NA13" s="11">
        <v>142436.0</v>
      </c>
      <c r="NB13" s="12">
        <v>284064.0</v>
      </c>
    </row>
    <row r="14">
      <c r="A14" s="13">
        <v>2.0</v>
      </c>
      <c r="B14" s="14" t="s">
        <v>369</v>
      </c>
      <c r="C14" s="15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2858.0</v>
      </c>
      <c r="M14" s="16">
        <v>0.0</v>
      </c>
      <c r="N14" s="16">
        <v>18111.0</v>
      </c>
      <c r="O14" s="16">
        <v>54975.0</v>
      </c>
      <c r="P14" s="16">
        <v>56906.0</v>
      </c>
      <c r="Q14" s="16">
        <v>49996.0</v>
      </c>
      <c r="R14" s="16">
        <v>53208.0</v>
      </c>
      <c r="S14" s="16">
        <v>0.0</v>
      </c>
      <c r="T14" s="16">
        <v>0.0</v>
      </c>
      <c r="U14" s="16">
        <v>0.0</v>
      </c>
      <c r="V14" s="16">
        <v>0.0</v>
      </c>
      <c r="W14" s="16">
        <v>0.0</v>
      </c>
      <c r="X14" s="16">
        <v>0.0</v>
      </c>
      <c r="Y14" s="16">
        <v>23257.0</v>
      </c>
      <c r="Z14" s="16">
        <v>0.0</v>
      </c>
      <c r="AA14" s="16">
        <v>54784.0</v>
      </c>
      <c r="AB14" s="16">
        <v>0.0</v>
      </c>
      <c r="AC14" s="16">
        <v>0.0</v>
      </c>
      <c r="AD14" s="16">
        <v>0.0</v>
      </c>
      <c r="AE14" s="16">
        <v>3000.0</v>
      </c>
      <c r="AF14" s="16">
        <v>49874.0</v>
      </c>
      <c r="AG14" s="16">
        <v>0.0</v>
      </c>
      <c r="AH14" s="16">
        <v>5996.0</v>
      </c>
      <c r="AI14" s="16">
        <v>23256.0</v>
      </c>
      <c r="AJ14" s="16">
        <v>0.0</v>
      </c>
      <c r="AK14" s="16">
        <v>29121.0</v>
      </c>
      <c r="AL14" s="16">
        <v>0.0</v>
      </c>
      <c r="AM14" s="16">
        <v>49996.0</v>
      </c>
      <c r="AN14" s="16">
        <v>7237.0</v>
      </c>
      <c r="AO14" s="16">
        <v>163923.0</v>
      </c>
      <c r="AP14" s="16">
        <v>0.0</v>
      </c>
      <c r="AQ14" s="16">
        <v>0.0</v>
      </c>
      <c r="AR14" s="16">
        <v>0.0</v>
      </c>
      <c r="AS14" s="16">
        <v>0.0</v>
      </c>
      <c r="AT14" s="16">
        <v>0.0</v>
      </c>
      <c r="AU14" s="16">
        <v>0.0</v>
      </c>
      <c r="AV14" s="16">
        <v>55698.0</v>
      </c>
      <c r="AW14" s="16">
        <v>0.0</v>
      </c>
      <c r="AX14" s="16">
        <v>0.0</v>
      </c>
      <c r="AY14" s="16">
        <v>0.0</v>
      </c>
      <c r="AZ14" s="16">
        <v>169403.0</v>
      </c>
      <c r="BA14" s="16">
        <v>23292.0</v>
      </c>
      <c r="BB14" s="16">
        <v>26424.0</v>
      </c>
      <c r="BC14" s="16">
        <v>0.0</v>
      </c>
      <c r="BD14" s="16">
        <v>131418.0</v>
      </c>
      <c r="BE14" s="16">
        <v>0.0</v>
      </c>
      <c r="BF14" s="16">
        <v>0.0</v>
      </c>
      <c r="BG14" s="16">
        <v>0.0</v>
      </c>
      <c r="BH14" s="16">
        <v>0.0</v>
      </c>
      <c r="BI14" s="16">
        <v>0.0</v>
      </c>
      <c r="BJ14" s="16">
        <v>116700.0</v>
      </c>
      <c r="BK14" s="16">
        <v>0.0</v>
      </c>
      <c r="BL14" s="16">
        <v>99300.0</v>
      </c>
      <c r="BM14" s="16">
        <v>0.0</v>
      </c>
      <c r="BN14" s="16">
        <v>23503.0</v>
      </c>
      <c r="BO14" s="16">
        <v>113063.0</v>
      </c>
      <c r="BP14" s="16">
        <v>0.0</v>
      </c>
      <c r="BQ14" s="16">
        <v>0.0</v>
      </c>
      <c r="BR14" s="16">
        <v>0.0</v>
      </c>
      <c r="BS14" s="16">
        <v>0.0</v>
      </c>
      <c r="BT14" s="16">
        <v>0.0</v>
      </c>
      <c r="BU14" s="16">
        <v>49679.0</v>
      </c>
      <c r="BV14" s="16">
        <v>0.0</v>
      </c>
      <c r="BW14" s="16">
        <v>49849.0</v>
      </c>
      <c r="BX14" s="16">
        <v>0.0</v>
      </c>
      <c r="BY14" s="16">
        <v>54534.0</v>
      </c>
      <c r="BZ14" s="16">
        <v>0.0</v>
      </c>
      <c r="CA14" s="16">
        <v>0.0</v>
      </c>
      <c r="CB14" s="16">
        <v>49242.0</v>
      </c>
      <c r="CC14" s="16">
        <v>0.0</v>
      </c>
      <c r="CD14" s="16">
        <v>0.0</v>
      </c>
      <c r="CE14" s="16">
        <v>0.0</v>
      </c>
      <c r="CF14" s="16">
        <v>56824.0</v>
      </c>
      <c r="CG14" s="16">
        <v>0.0</v>
      </c>
      <c r="CH14" s="16">
        <v>0.0</v>
      </c>
      <c r="CI14" s="16">
        <v>50357.0</v>
      </c>
      <c r="CJ14" s="16">
        <v>0.0</v>
      </c>
      <c r="CK14" s="16">
        <v>54867.0</v>
      </c>
      <c r="CL14" s="16">
        <v>115895.0</v>
      </c>
      <c r="CM14" s="16">
        <v>60633.0</v>
      </c>
      <c r="CN14" s="16">
        <v>190426.0</v>
      </c>
      <c r="CO14" s="16">
        <v>28104.0</v>
      </c>
      <c r="CP14" s="16">
        <v>194147.0</v>
      </c>
      <c r="CQ14" s="16">
        <v>157751.0</v>
      </c>
      <c r="CR14" s="16">
        <v>308266.0</v>
      </c>
      <c r="CS14" s="16">
        <v>212767.0</v>
      </c>
      <c r="CT14" s="16">
        <v>211450.0</v>
      </c>
      <c r="CU14" s="16">
        <v>55091.0</v>
      </c>
      <c r="CV14" s="16">
        <v>138021.0</v>
      </c>
      <c r="CW14" s="16">
        <v>81668.0</v>
      </c>
      <c r="CX14" s="16">
        <v>294200.0</v>
      </c>
      <c r="CY14" s="16">
        <v>210901.0</v>
      </c>
      <c r="CZ14" s="16">
        <v>80292.0</v>
      </c>
      <c r="DA14" s="16">
        <v>164858.0</v>
      </c>
      <c r="DB14" s="16">
        <v>160358.0</v>
      </c>
      <c r="DC14" s="16">
        <v>140234.0</v>
      </c>
      <c r="DD14" s="16">
        <v>56009.0</v>
      </c>
      <c r="DE14" s="16">
        <v>166493.0</v>
      </c>
      <c r="DF14" s="16">
        <v>225369.0</v>
      </c>
      <c r="DG14" s="16">
        <v>228363.0</v>
      </c>
      <c r="DH14" s="16">
        <v>145301.0</v>
      </c>
      <c r="DI14" s="16">
        <v>268434.0</v>
      </c>
      <c r="DJ14" s="16">
        <v>193143.0</v>
      </c>
      <c r="DK14" s="16">
        <v>171370.0</v>
      </c>
      <c r="DL14" s="16">
        <v>222635.0</v>
      </c>
      <c r="DM14" s="16">
        <v>85235.0</v>
      </c>
      <c r="DN14" s="16">
        <v>264575.0</v>
      </c>
      <c r="DO14" s="16">
        <v>197877.0</v>
      </c>
      <c r="DP14" s="16">
        <v>259246.0</v>
      </c>
      <c r="DQ14" s="16">
        <v>155198.0</v>
      </c>
      <c r="DR14" s="16">
        <v>109004.0</v>
      </c>
      <c r="DS14" s="16">
        <v>0.0</v>
      </c>
      <c r="DT14" s="16">
        <v>172038.0</v>
      </c>
      <c r="DU14" s="16">
        <v>82616.0</v>
      </c>
      <c r="DV14" s="16">
        <v>55056.0</v>
      </c>
      <c r="DW14" s="16">
        <v>115876.0</v>
      </c>
      <c r="DX14" s="16">
        <v>158268.0</v>
      </c>
      <c r="DY14" s="16">
        <v>142856.0</v>
      </c>
      <c r="DZ14" s="16">
        <v>80276.0</v>
      </c>
      <c r="EA14" s="16">
        <v>97329.0</v>
      </c>
      <c r="EB14" s="16">
        <v>63188.0</v>
      </c>
      <c r="EC14" s="16">
        <v>54747.0</v>
      </c>
      <c r="ED14" s="16">
        <v>230257.0</v>
      </c>
      <c r="EE14" s="16">
        <v>117562.0</v>
      </c>
      <c r="EF14" s="16">
        <v>111468.0</v>
      </c>
      <c r="EG14" s="16">
        <v>232589.0</v>
      </c>
      <c r="EH14" s="16">
        <v>252507.0</v>
      </c>
      <c r="EI14" s="16">
        <v>104398.0</v>
      </c>
      <c r="EJ14" s="16">
        <v>307298.0</v>
      </c>
      <c r="EK14" s="16">
        <v>58564.0</v>
      </c>
      <c r="EL14" s="16">
        <v>157486.0</v>
      </c>
      <c r="EM14" s="16">
        <v>164600.0</v>
      </c>
      <c r="EN14" s="16">
        <v>189420.0</v>
      </c>
      <c r="EO14" s="16">
        <v>408886.0</v>
      </c>
      <c r="EP14" s="16">
        <v>108810.0</v>
      </c>
      <c r="EQ14" s="16">
        <v>34102.0</v>
      </c>
      <c r="ER14" s="16">
        <v>84695.0</v>
      </c>
      <c r="ES14" s="16">
        <v>57224.0</v>
      </c>
      <c r="ET14" s="16">
        <v>73163.0</v>
      </c>
      <c r="EU14" s="16">
        <v>112381.0</v>
      </c>
      <c r="EV14" s="16">
        <v>26361.0</v>
      </c>
      <c r="EW14" s="16">
        <v>257748.0</v>
      </c>
      <c r="EX14" s="16">
        <v>80175.0</v>
      </c>
      <c r="EY14" s="16">
        <v>135973.0</v>
      </c>
      <c r="EZ14" s="16">
        <v>184577.0</v>
      </c>
      <c r="FA14" s="16">
        <v>189272.0</v>
      </c>
      <c r="FB14" s="16">
        <v>161823.0</v>
      </c>
      <c r="FC14" s="16">
        <v>108813.0</v>
      </c>
      <c r="FD14" s="16">
        <v>18110.0</v>
      </c>
      <c r="FE14" s="16">
        <v>107831.0</v>
      </c>
      <c r="FF14" s="16">
        <v>324805.0</v>
      </c>
      <c r="FG14" s="16">
        <v>118836.0</v>
      </c>
      <c r="FH14" s="16">
        <v>189581.0</v>
      </c>
      <c r="FI14" s="16">
        <v>65966.0</v>
      </c>
      <c r="FJ14" s="16">
        <v>54501.0</v>
      </c>
      <c r="FK14" s="16">
        <v>26616.0</v>
      </c>
      <c r="FL14" s="16">
        <v>193820.0</v>
      </c>
      <c r="FM14" s="16">
        <v>171451.0</v>
      </c>
      <c r="FN14" s="16">
        <v>132288.0</v>
      </c>
      <c r="FO14" s="16">
        <v>197360.0</v>
      </c>
      <c r="FP14" s="16">
        <v>106416.0</v>
      </c>
      <c r="FQ14" s="16">
        <v>80337.0</v>
      </c>
      <c r="FR14" s="16">
        <v>163870.0</v>
      </c>
      <c r="FS14" s="16">
        <v>56097.0</v>
      </c>
      <c r="FT14" s="16">
        <v>125927.0</v>
      </c>
      <c r="FU14" s="16">
        <v>160960.0</v>
      </c>
      <c r="FV14" s="16">
        <v>188902.0</v>
      </c>
      <c r="FW14" s="16">
        <v>104234.0</v>
      </c>
      <c r="FX14" s="16">
        <v>229931.0</v>
      </c>
      <c r="FY14" s="16">
        <v>230168.0</v>
      </c>
      <c r="FZ14" s="16">
        <v>93735.0</v>
      </c>
      <c r="GA14" s="16">
        <v>112477.0</v>
      </c>
      <c r="GB14" s="16">
        <v>93964.0</v>
      </c>
      <c r="GC14" s="16">
        <v>119363.0</v>
      </c>
      <c r="GD14" s="16">
        <v>151774.0</v>
      </c>
      <c r="GE14" s="16">
        <v>304067.0</v>
      </c>
      <c r="GF14" s="16">
        <v>79455.0</v>
      </c>
      <c r="GG14" s="16">
        <v>145539.0</v>
      </c>
      <c r="GH14" s="16">
        <v>247561.0</v>
      </c>
      <c r="GI14" s="16">
        <v>142214.0</v>
      </c>
      <c r="GJ14" s="16">
        <v>8102.0</v>
      </c>
      <c r="GK14" s="16">
        <v>200431.0</v>
      </c>
      <c r="GL14" s="16">
        <v>81480.0</v>
      </c>
      <c r="GM14" s="16">
        <v>331449.0</v>
      </c>
      <c r="GN14" s="16">
        <v>282474.0</v>
      </c>
      <c r="GO14" s="16">
        <v>58144.0</v>
      </c>
      <c r="GP14" s="16">
        <v>208596.0</v>
      </c>
      <c r="GQ14" s="16">
        <v>96246.0</v>
      </c>
      <c r="GR14" s="16">
        <v>16075.0</v>
      </c>
      <c r="GS14" s="16">
        <v>253499.0</v>
      </c>
      <c r="GT14" s="16">
        <v>324707.0</v>
      </c>
      <c r="GU14" s="16">
        <v>147777.0</v>
      </c>
      <c r="GV14" s="16">
        <v>246212.0</v>
      </c>
      <c r="GW14" s="16">
        <v>248607.0</v>
      </c>
      <c r="GX14" s="16">
        <v>131094.0</v>
      </c>
      <c r="GY14" s="16">
        <v>0.0</v>
      </c>
      <c r="GZ14" s="16">
        <v>197129.0</v>
      </c>
      <c r="HA14" s="16">
        <v>123521.0</v>
      </c>
      <c r="HB14" s="16">
        <v>54478.0</v>
      </c>
      <c r="HC14" s="16">
        <v>227827.0</v>
      </c>
      <c r="HD14" s="16">
        <v>165921.0</v>
      </c>
      <c r="HE14" s="16">
        <v>269483.0</v>
      </c>
      <c r="HF14" s="16">
        <v>35122.0</v>
      </c>
      <c r="HG14" s="16">
        <v>59351.0</v>
      </c>
      <c r="HH14" s="16">
        <v>137639.0</v>
      </c>
      <c r="HI14" s="16">
        <v>282211.0</v>
      </c>
      <c r="HJ14" s="16">
        <v>187076.0</v>
      </c>
      <c r="HK14" s="16">
        <v>85605.0</v>
      </c>
      <c r="HL14" s="16">
        <v>83756.0</v>
      </c>
      <c r="HM14" s="16">
        <v>116512.0</v>
      </c>
      <c r="HN14" s="16">
        <v>165674.0</v>
      </c>
      <c r="HO14" s="16">
        <v>135930.0</v>
      </c>
      <c r="HP14" s="16">
        <v>194438.0</v>
      </c>
      <c r="HQ14" s="16">
        <v>356526.0</v>
      </c>
      <c r="HR14" s="16">
        <v>41404.0</v>
      </c>
      <c r="HS14" s="16">
        <v>131041.0</v>
      </c>
      <c r="HT14" s="16">
        <v>0.0</v>
      </c>
      <c r="HU14" s="16">
        <v>111197.0</v>
      </c>
      <c r="HV14" s="16">
        <v>175615.0</v>
      </c>
      <c r="HW14" s="16">
        <v>240552.0</v>
      </c>
      <c r="HX14" s="16">
        <v>100083.0</v>
      </c>
      <c r="HY14" s="16">
        <v>307945.0</v>
      </c>
      <c r="HZ14" s="16">
        <v>11253.0</v>
      </c>
      <c r="IA14" s="16">
        <v>78865.0</v>
      </c>
      <c r="IB14" s="16">
        <v>92691.0</v>
      </c>
      <c r="IC14" s="16">
        <v>338131.0</v>
      </c>
      <c r="ID14" s="16">
        <v>116639.0</v>
      </c>
      <c r="IE14" s="16">
        <v>314343.0</v>
      </c>
      <c r="IF14" s="16">
        <v>49618.0</v>
      </c>
      <c r="IG14" s="16">
        <v>169514.0</v>
      </c>
      <c r="IH14" s="16">
        <v>216505.0</v>
      </c>
      <c r="II14" s="16">
        <v>170530.0</v>
      </c>
      <c r="IJ14" s="16">
        <v>305843.0</v>
      </c>
      <c r="IK14" s="16">
        <v>107556.0</v>
      </c>
      <c r="IL14" s="16">
        <v>187817.0</v>
      </c>
      <c r="IM14" s="16">
        <v>131475.0</v>
      </c>
      <c r="IN14" s="16">
        <v>204726.0</v>
      </c>
      <c r="IO14" s="16">
        <v>162860.0</v>
      </c>
      <c r="IP14" s="16">
        <v>305418.0</v>
      </c>
      <c r="IQ14" s="16">
        <v>108863.0</v>
      </c>
      <c r="IR14" s="16">
        <v>154332.0</v>
      </c>
      <c r="IS14" s="16">
        <v>214017.0</v>
      </c>
      <c r="IT14" s="16">
        <v>191730.0</v>
      </c>
      <c r="IU14" s="16">
        <v>228782.0</v>
      </c>
      <c r="IV14" s="16">
        <v>148518.0</v>
      </c>
      <c r="IW14" s="16">
        <v>166205.0</v>
      </c>
      <c r="IX14" s="16">
        <v>244397.0</v>
      </c>
      <c r="IY14" s="16">
        <v>97478.0</v>
      </c>
      <c r="IZ14" s="16">
        <v>124156.0</v>
      </c>
      <c r="JA14" s="16">
        <v>125424.0</v>
      </c>
      <c r="JB14" s="16">
        <v>382240.0</v>
      </c>
      <c r="JC14" s="16">
        <v>73994.0</v>
      </c>
      <c r="JD14" s="16">
        <v>230711.0</v>
      </c>
      <c r="JE14" s="16">
        <v>81624.0</v>
      </c>
      <c r="JF14" s="16">
        <v>286493.0</v>
      </c>
      <c r="JG14" s="16">
        <v>201419.0</v>
      </c>
      <c r="JH14" s="16">
        <v>109062.0</v>
      </c>
      <c r="JI14" s="16">
        <v>173301.0</v>
      </c>
      <c r="JJ14" s="16">
        <v>83807.0</v>
      </c>
      <c r="JK14" s="16">
        <v>79725.0</v>
      </c>
      <c r="JL14" s="16">
        <v>196664.0</v>
      </c>
      <c r="JM14" s="16">
        <v>126950.0</v>
      </c>
      <c r="JN14" s="16">
        <v>309194.0</v>
      </c>
      <c r="JO14" s="16">
        <v>92286.0</v>
      </c>
      <c r="JP14" s="16">
        <v>200021.0</v>
      </c>
      <c r="JQ14" s="16">
        <v>194686.0</v>
      </c>
      <c r="JR14" s="16">
        <v>164300.0</v>
      </c>
      <c r="JS14" s="16">
        <v>81942.0</v>
      </c>
      <c r="JT14" s="16">
        <v>169946.0</v>
      </c>
      <c r="JU14" s="16">
        <v>109037.0</v>
      </c>
      <c r="JV14" s="16">
        <v>208278.0</v>
      </c>
      <c r="JW14" s="16">
        <v>237863.0</v>
      </c>
      <c r="JX14" s="16">
        <v>249995.0</v>
      </c>
      <c r="JY14" s="16">
        <v>136634.0</v>
      </c>
      <c r="JZ14" s="16">
        <v>183811.0</v>
      </c>
      <c r="KA14" s="16">
        <v>190949.0</v>
      </c>
      <c r="KB14" s="16">
        <v>217008.0</v>
      </c>
      <c r="KC14" s="16">
        <v>175032.0</v>
      </c>
      <c r="KD14" s="16">
        <v>152367.0</v>
      </c>
      <c r="KE14" s="16">
        <v>119133.0</v>
      </c>
      <c r="KF14" s="16">
        <v>122019.0</v>
      </c>
      <c r="KG14" s="16">
        <v>443655.0</v>
      </c>
      <c r="KH14" s="16">
        <v>26534.0</v>
      </c>
      <c r="KI14" s="16">
        <v>54490.0</v>
      </c>
      <c r="KJ14" s="16">
        <v>146247.0</v>
      </c>
      <c r="KK14" s="16">
        <v>143006.0</v>
      </c>
      <c r="KL14" s="16">
        <v>64765.0</v>
      </c>
      <c r="KM14" s="16">
        <v>293296.0</v>
      </c>
      <c r="KN14" s="16">
        <v>194386.0</v>
      </c>
      <c r="KO14" s="16">
        <v>177216.0</v>
      </c>
      <c r="KP14" s="16">
        <v>64046.0</v>
      </c>
      <c r="KQ14" s="16">
        <v>0.0</v>
      </c>
      <c r="KR14" s="16">
        <v>207470.0</v>
      </c>
      <c r="KS14" s="16">
        <v>271658.0</v>
      </c>
      <c r="KT14" s="16">
        <v>136384.0</v>
      </c>
      <c r="KU14" s="16">
        <v>228347.0</v>
      </c>
      <c r="KV14" s="16">
        <v>170118.0</v>
      </c>
      <c r="KW14" s="16">
        <v>81881.0</v>
      </c>
      <c r="KX14" s="16">
        <v>161657.0</v>
      </c>
      <c r="KY14" s="16">
        <v>208608.0</v>
      </c>
      <c r="KZ14" s="16">
        <v>149963.0</v>
      </c>
      <c r="LA14" s="16">
        <v>156032.0</v>
      </c>
      <c r="LB14" s="16">
        <v>139888.0</v>
      </c>
      <c r="LC14" s="16">
        <v>116589.0</v>
      </c>
      <c r="LD14" s="16">
        <v>226222.0</v>
      </c>
      <c r="LE14" s="16">
        <v>153250.0</v>
      </c>
      <c r="LF14" s="16">
        <v>396221.0</v>
      </c>
      <c r="LG14" s="16">
        <v>171760.0</v>
      </c>
      <c r="LH14" s="16">
        <v>135887.0</v>
      </c>
      <c r="LI14" s="16">
        <v>128289.0</v>
      </c>
      <c r="LJ14" s="16">
        <v>212610.0</v>
      </c>
      <c r="LK14" s="16">
        <v>60010.0</v>
      </c>
      <c r="LL14" s="16">
        <v>177563.0</v>
      </c>
      <c r="LM14" s="16">
        <v>137311.0</v>
      </c>
      <c r="LN14" s="16">
        <v>269017.0</v>
      </c>
      <c r="LO14" s="16">
        <v>188038.0</v>
      </c>
      <c r="LP14" s="16">
        <v>199495.0</v>
      </c>
      <c r="LQ14" s="16">
        <v>227796.0</v>
      </c>
      <c r="LR14" s="16">
        <v>193711.0</v>
      </c>
      <c r="LS14" s="16">
        <v>151548.0</v>
      </c>
      <c r="LT14" s="16">
        <v>10598.0</v>
      </c>
      <c r="LU14" s="16">
        <v>252514.0</v>
      </c>
      <c r="LV14" s="16">
        <v>72523.0</v>
      </c>
      <c r="LW14" s="16">
        <v>190468.0</v>
      </c>
      <c r="LX14" s="16">
        <v>216228.0</v>
      </c>
      <c r="LY14" s="16">
        <v>230313.0</v>
      </c>
      <c r="LZ14" s="16">
        <v>35164.0</v>
      </c>
      <c r="MA14" s="16">
        <v>146535.0</v>
      </c>
      <c r="MB14" s="16">
        <v>64220.0</v>
      </c>
      <c r="MC14" s="16">
        <v>168186.0</v>
      </c>
      <c r="MD14" s="16">
        <v>77945.0</v>
      </c>
      <c r="ME14" s="16">
        <v>82576.0</v>
      </c>
      <c r="MF14" s="16">
        <v>241101.0</v>
      </c>
      <c r="MG14" s="16">
        <v>54966.0</v>
      </c>
      <c r="MH14" s="16">
        <v>165518.0</v>
      </c>
      <c r="MI14" s="16">
        <v>223798.0</v>
      </c>
      <c r="MJ14" s="16">
        <v>238531.0</v>
      </c>
      <c r="MK14" s="16">
        <v>380260.0</v>
      </c>
      <c r="ML14" s="16">
        <v>107106.0</v>
      </c>
      <c r="MM14" s="16">
        <v>204684.0</v>
      </c>
      <c r="MN14" s="16">
        <v>0.0</v>
      </c>
      <c r="MO14" s="16">
        <v>321013.0</v>
      </c>
      <c r="MP14" s="16">
        <v>288108.0</v>
      </c>
      <c r="MQ14" s="16">
        <v>171353.0</v>
      </c>
      <c r="MR14" s="16">
        <v>160418.0</v>
      </c>
      <c r="MS14" s="16">
        <v>94634.0</v>
      </c>
      <c r="MT14" s="16">
        <v>108525.0</v>
      </c>
      <c r="MU14" s="16">
        <v>203834.0</v>
      </c>
      <c r="MV14" s="16">
        <v>231501.0</v>
      </c>
      <c r="MW14" s="16">
        <v>123003.0</v>
      </c>
      <c r="MX14" s="16">
        <v>136273.0</v>
      </c>
      <c r="MY14" s="16">
        <v>150300.0</v>
      </c>
      <c r="MZ14" s="16">
        <v>321545.0</v>
      </c>
      <c r="NA14" s="16">
        <v>121523.0</v>
      </c>
      <c r="NB14" s="17">
        <v>230379.0</v>
      </c>
    </row>
    <row r="16">
      <c r="B16" s="18" t="s">
        <v>373</v>
      </c>
      <c r="C16" s="19" t="s">
        <v>374</v>
      </c>
    </row>
    <row r="17">
      <c r="B17" s="3" t="str">
        <f>B6</f>
        <v>Crude Oil Tanker</v>
      </c>
      <c r="C17" s="20">
        <v>7.33</v>
      </c>
    </row>
    <row r="18">
      <c r="B18" s="8" t="str">
        <f>B9</f>
        <v>LNG Tanker</v>
      </c>
      <c r="C18" s="12">
        <v>8.001</v>
      </c>
    </row>
    <row r="19">
      <c r="B19" s="13" t="str">
        <f>B12</f>
        <v>LPG Tanker</v>
      </c>
      <c r="C19" s="14">
        <v>7.542</v>
      </c>
    </row>
    <row r="21" ht="15.75" customHeight="1"/>
    <row r="22" ht="15.75" customHeight="1"/>
    <row r="23" ht="15.75" customHeight="1"/>
    <row r="24" ht="15.75" customHeight="1">
      <c r="B24" s="21" t="s">
        <v>375</v>
      </c>
      <c r="C24" s="22" t="str">
        <f t="shared" ref="C24:NB24" si="1">C1</f>
        <v>05/26/2026</v>
      </c>
      <c r="D24" s="23" t="str">
        <f t="shared" si="1"/>
        <v>05/25/2026</v>
      </c>
      <c r="E24" s="23" t="str">
        <f t="shared" si="1"/>
        <v>05/24/2026</v>
      </c>
      <c r="F24" s="23" t="str">
        <f t="shared" si="1"/>
        <v>05/23/2026</v>
      </c>
      <c r="G24" s="23" t="str">
        <f t="shared" si="1"/>
        <v>05/22/2026</v>
      </c>
      <c r="H24" s="23" t="str">
        <f t="shared" si="1"/>
        <v>05/21/2026</v>
      </c>
      <c r="I24" s="23" t="str">
        <f t="shared" si="1"/>
        <v>05/20/2026</v>
      </c>
      <c r="J24" s="23" t="str">
        <f t="shared" si="1"/>
        <v>05/19/2026</v>
      </c>
      <c r="K24" s="23" t="str">
        <f t="shared" si="1"/>
        <v>05/18/2026</v>
      </c>
      <c r="L24" s="23" t="str">
        <f t="shared" si="1"/>
        <v>05/17/2026</v>
      </c>
      <c r="M24" s="23" t="str">
        <f t="shared" si="1"/>
        <v>05/16/2026</v>
      </c>
      <c r="N24" s="23" t="str">
        <f t="shared" si="1"/>
        <v>05/15/2026</v>
      </c>
      <c r="O24" s="23" t="str">
        <f t="shared" si="1"/>
        <v>05/14/2026</v>
      </c>
      <c r="P24" s="23" t="str">
        <f t="shared" si="1"/>
        <v>05/13/2026</v>
      </c>
      <c r="Q24" s="23" t="str">
        <f t="shared" si="1"/>
        <v>05/12/2026</v>
      </c>
      <c r="R24" s="23" t="str">
        <f t="shared" si="1"/>
        <v>05/11/2026</v>
      </c>
      <c r="S24" s="23" t="str">
        <f t="shared" si="1"/>
        <v>05/10/2026</v>
      </c>
      <c r="T24" s="23" t="str">
        <f t="shared" si="1"/>
        <v>05/09/2026</v>
      </c>
      <c r="U24" s="23" t="str">
        <f t="shared" si="1"/>
        <v>05/08/2026</v>
      </c>
      <c r="V24" s="23" t="str">
        <f t="shared" si="1"/>
        <v>05/07/2026</v>
      </c>
      <c r="W24" s="23" t="str">
        <f t="shared" si="1"/>
        <v>05/06/2026</v>
      </c>
      <c r="X24" s="23" t="str">
        <f t="shared" si="1"/>
        <v>05/05/2026</v>
      </c>
      <c r="Y24" s="23" t="str">
        <f t="shared" si="1"/>
        <v>05/04/2026</v>
      </c>
      <c r="Z24" s="23" t="str">
        <f t="shared" si="1"/>
        <v>05/03/2026</v>
      </c>
      <c r="AA24" s="23" t="str">
        <f t="shared" si="1"/>
        <v>05/02/2026</v>
      </c>
      <c r="AB24" s="23" t="str">
        <f t="shared" si="1"/>
        <v>05/01/2026</v>
      </c>
      <c r="AC24" s="23" t="str">
        <f t="shared" si="1"/>
        <v>04/30/2026</v>
      </c>
      <c r="AD24" s="23" t="str">
        <f t="shared" si="1"/>
        <v>04/29/2026</v>
      </c>
      <c r="AE24" s="23" t="str">
        <f t="shared" si="1"/>
        <v>04/28/2026</v>
      </c>
      <c r="AF24" s="23" t="str">
        <f t="shared" si="1"/>
        <v>04/27/2026</v>
      </c>
      <c r="AG24" s="23" t="str">
        <f t="shared" si="1"/>
        <v>04/26/2026</v>
      </c>
      <c r="AH24" s="23" t="str">
        <f t="shared" si="1"/>
        <v>04/25/2026</v>
      </c>
      <c r="AI24" s="23" t="str">
        <f t="shared" si="1"/>
        <v>04/24/2026</v>
      </c>
      <c r="AJ24" s="23" t="str">
        <f t="shared" si="1"/>
        <v>04/23/2026</v>
      </c>
      <c r="AK24" s="23" t="str">
        <f t="shared" si="1"/>
        <v>04/22/2026</v>
      </c>
      <c r="AL24" s="23" t="str">
        <f t="shared" si="1"/>
        <v>04/21/2026</v>
      </c>
      <c r="AM24" s="23" t="str">
        <f t="shared" si="1"/>
        <v>04/20/2026</v>
      </c>
      <c r="AN24" s="23" t="str">
        <f t="shared" si="1"/>
        <v>04/19/2026</v>
      </c>
      <c r="AO24" s="23" t="str">
        <f t="shared" si="1"/>
        <v>04/18/2026</v>
      </c>
      <c r="AP24" s="23" t="str">
        <f t="shared" si="1"/>
        <v>04/17/2026</v>
      </c>
      <c r="AQ24" s="23" t="str">
        <f t="shared" si="1"/>
        <v>04/16/2026</v>
      </c>
      <c r="AR24" s="23" t="str">
        <f t="shared" si="1"/>
        <v>04/15/2026</v>
      </c>
      <c r="AS24" s="23" t="str">
        <f t="shared" si="1"/>
        <v>04/14/2026</v>
      </c>
      <c r="AT24" s="23" t="str">
        <f t="shared" si="1"/>
        <v>04/13/2026</v>
      </c>
      <c r="AU24" s="23" t="str">
        <f t="shared" si="1"/>
        <v>04/12/2026</v>
      </c>
      <c r="AV24" s="23" t="str">
        <f t="shared" si="1"/>
        <v>04/11/2026</v>
      </c>
      <c r="AW24" s="23" t="str">
        <f t="shared" si="1"/>
        <v>04/10/2026</v>
      </c>
      <c r="AX24" s="23" t="str">
        <f t="shared" si="1"/>
        <v>04/09/2026</v>
      </c>
      <c r="AY24" s="23" t="str">
        <f t="shared" si="1"/>
        <v>04/08/2026</v>
      </c>
      <c r="AZ24" s="23" t="str">
        <f t="shared" si="1"/>
        <v>04/07/2026</v>
      </c>
      <c r="BA24" s="23" t="str">
        <f t="shared" si="1"/>
        <v>04/06/2026</v>
      </c>
      <c r="BB24" s="23" t="str">
        <f t="shared" si="1"/>
        <v>04/05/2026</v>
      </c>
      <c r="BC24" s="23" t="str">
        <f t="shared" si="1"/>
        <v>04/04/2026</v>
      </c>
      <c r="BD24" s="23" t="str">
        <f t="shared" si="1"/>
        <v>04/03/2026</v>
      </c>
      <c r="BE24" s="23" t="str">
        <f t="shared" si="1"/>
        <v>04/02/2026</v>
      </c>
      <c r="BF24" s="23" t="str">
        <f t="shared" si="1"/>
        <v>04/01/2026</v>
      </c>
      <c r="BG24" s="23" t="str">
        <f t="shared" si="1"/>
        <v>03/31/2026</v>
      </c>
      <c r="BH24" s="23" t="str">
        <f t="shared" si="1"/>
        <v>03/30/2026</v>
      </c>
      <c r="BI24" s="23" t="str">
        <f t="shared" si="1"/>
        <v>03/29/2026</v>
      </c>
      <c r="BJ24" s="23" t="str">
        <f t="shared" si="1"/>
        <v>03/28/2026</v>
      </c>
      <c r="BK24" s="23" t="str">
        <f t="shared" si="1"/>
        <v>03/27/2026</v>
      </c>
      <c r="BL24" s="23" t="str">
        <f t="shared" si="1"/>
        <v>03/26/2026</v>
      </c>
      <c r="BM24" s="23" t="str">
        <f t="shared" si="1"/>
        <v>03/25/2026</v>
      </c>
      <c r="BN24" s="23" t="str">
        <f t="shared" si="1"/>
        <v>03/24/2026</v>
      </c>
      <c r="BO24" s="23" t="str">
        <f t="shared" si="1"/>
        <v>03/23/2026</v>
      </c>
      <c r="BP24" s="23" t="str">
        <f t="shared" si="1"/>
        <v>03/22/2026</v>
      </c>
      <c r="BQ24" s="23" t="str">
        <f t="shared" si="1"/>
        <v>03/21/2026</v>
      </c>
      <c r="BR24" s="23" t="str">
        <f t="shared" si="1"/>
        <v>03/20/2026</v>
      </c>
      <c r="BS24" s="23" t="str">
        <f t="shared" si="1"/>
        <v>03/19/2026</v>
      </c>
      <c r="BT24" s="23" t="str">
        <f t="shared" si="1"/>
        <v>03/18/2026</v>
      </c>
      <c r="BU24" s="23" t="str">
        <f t="shared" si="1"/>
        <v>03/17/2026</v>
      </c>
      <c r="BV24" s="23" t="str">
        <f t="shared" si="1"/>
        <v>03/16/2026</v>
      </c>
      <c r="BW24" s="23" t="str">
        <f t="shared" si="1"/>
        <v>03/15/2026</v>
      </c>
      <c r="BX24" s="23" t="str">
        <f t="shared" si="1"/>
        <v>03/14/2026</v>
      </c>
      <c r="BY24" s="23" t="str">
        <f t="shared" si="1"/>
        <v>03/13/2026</v>
      </c>
      <c r="BZ24" s="23" t="str">
        <f t="shared" si="1"/>
        <v>03/12/2026</v>
      </c>
      <c r="CA24" s="23" t="str">
        <f t="shared" si="1"/>
        <v>03/11/2026</v>
      </c>
      <c r="CB24" s="23" t="str">
        <f t="shared" si="1"/>
        <v>03/10/2026</v>
      </c>
      <c r="CC24" s="23" t="str">
        <f t="shared" si="1"/>
        <v>03/09/2026</v>
      </c>
      <c r="CD24" s="23" t="str">
        <f t="shared" si="1"/>
        <v>03/08/2026</v>
      </c>
      <c r="CE24" s="23" t="str">
        <f t="shared" si="1"/>
        <v>03/07/2026</v>
      </c>
      <c r="CF24" s="23" t="str">
        <f t="shared" si="1"/>
        <v>03/06/2026</v>
      </c>
      <c r="CG24" s="23" t="str">
        <f t="shared" si="1"/>
        <v>03/05/2026</v>
      </c>
      <c r="CH24" s="23" t="str">
        <f t="shared" si="1"/>
        <v>03/04/2026</v>
      </c>
      <c r="CI24" s="23" t="str">
        <f t="shared" si="1"/>
        <v>03/03/2026</v>
      </c>
      <c r="CJ24" s="23" t="str">
        <f t="shared" si="1"/>
        <v>03/02/2026</v>
      </c>
      <c r="CK24" s="23" t="str">
        <f t="shared" si="1"/>
        <v>03/01/2026</v>
      </c>
      <c r="CL24" s="23" t="str">
        <f t="shared" si="1"/>
        <v>02/28/2026</v>
      </c>
      <c r="CM24" s="23" t="str">
        <f t="shared" si="1"/>
        <v>02/27/2026</v>
      </c>
      <c r="CN24" s="23" t="str">
        <f t="shared" si="1"/>
        <v>02/26/2026</v>
      </c>
      <c r="CO24" s="23" t="str">
        <f t="shared" si="1"/>
        <v>02/25/2026</v>
      </c>
      <c r="CP24" s="23" t="str">
        <f t="shared" si="1"/>
        <v>02/24/2026</v>
      </c>
      <c r="CQ24" s="23" t="str">
        <f t="shared" si="1"/>
        <v>02/23/2026</v>
      </c>
      <c r="CR24" s="23" t="str">
        <f t="shared" si="1"/>
        <v>02/22/2026</v>
      </c>
      <c r="CS24" s="23" t="str">
        <f t="shared" si="1"/>
        <v>02/21/2026</v>
      </c>
      <c r="CT24" s="23" t="str">
        <f t="shared" si="1"/>
        <v>02/20/2026</v>
      </c>
      <c r="CU24" s="23" t="str">
        <f t="shared" si="1"/>
        <v>02/19/2026</v>
      </c>
      <c r="CV24" s="23" t="str">
        <f t="shared" si="1"/>
        <v>02/18/2026</v>
      </c>
      <c r="CW24" s="23" t="str">
        <f t="shared" si="1"/>
        <v>02/17/2026</v>
      </c>
      <c r="CX24" s="23" t="str">
        <f t="shared" si="1"/>
        <v>02/16/2026</v>
      </c>
      <c r="CY24" s="23" t="str">
        <f t="shared" si="1"/>
        <v>02/15/2026</v>
      </c>
      <c r="CZ24" s="23" t="str">
        <f t="shared" si="1"/>
        <v>02/14/2026</v>
      </c>
      <c r="DA24" s="23" t="str">
        <f t="shared" si="1"/>
        <v>02/13/2026</v>
      </c>
      <c r="DB24" s="23" t="str">
        <f t="shared" si="1"/>
        <v>02/12/2026</v>
      </c>
      <c r="DC24" s="23" t="str">
        <f t="shared" si="1"/>
        <v>02/11/2026</v>
      </c>
      <c r="DD24" s="23" t="str">
        <f t="shared" si="1"/>
        <v>02/10/2026</v>
      </c>
      <c r="DE24" s="23" t="str">
        <f t="shared" si="1"/>
        <v>02/09/2026</v>
      </c>
      <c r="DF24" s="23" t="str">
        <f t="shared" si="1"/>
        <v>02/08/2026</v>
      </c>
      <c r="DG24" s="23" t="str">
        <f t="shared" si="1"/>
        <v>02/07/2026</v>
      </c>
      <c r="DH24" s="23" t="str">
        <f t="shared" si="1"/>
        <v>02/06/2026</v>
      </c>
      <c r="DI24" s="23" t="str">
        <f t="shared" si="1"/>
        <v>02/05/2026</v>
      </c>
      <c r="DJ24" s="23" t="str">
        <f t="shared" si="1"/>
        <v>02/04/2026</v>
      </c>
      <c r="DK24" s="23" t="str">
        <f t="shared" si="1"/>
        <v>02/03/2026</v>
      </c>
      <c r="DL24" s="23" t="str">
        <f t="shared" si="1"/>
        <v>02/02/2026</v>
      </c>
      <c r="DM24" s="23" t="str">
        <f t="shared" si="1"/>
        <v>02/01/2026</v>
      </c>
      <c r="DN24" s="23" t="str">
        <f t="shared" si="1"/>
        <v>01/31/2026</v>
      </c>
      <c r="DO24" s="23" t="str">
        <f t="shared" si="1"/>
        <v>01/30/2026</v>
      </c>
      <c r="DP24" s="23" t="str">
        <f t="shared" si="1"/>
        <v>01/29/2026</v>
      </c>
      <c r="DQ24" s="23" t="str">
        <f t="shared" si="1"/>
        <v>01/28/2026</v>
      </c>
      <c r="DR24" s="23" t="str">
        <f t="shared" si="1"/>
        <v>01/27/2026</v>
      </c>
      <c r="DS24" s="23" t="str">
        <f t="shared" si="1"/>
        <v>01/26/2026</v>
      </c>
      <c r="DT24" s="23" t="str">
        <f t="shared" si="1"/>
        <v>01/25/2026</v>
      </c>
      <c r="DU24" s="23" t="str">
        <f t="shared" si="1"/>
        <v>01/24/2026</v>
      </c>
      <c r="DV24" s="23" t="str">
        <f t="shared" si="1"/>
        <v>01/23/2026</v>
      </c>
      <c r="DW24" s="23" t="str">
        <f t="shared" si="1"/>
        <v>01/22/2026</v>
      </c>
      <c r="DX24" s="23" t="str">
        <f t="shared" si="1"/>
        <v>01/21/2026</v>
      </c>
      <c r="DY24" s="23" t="str">
        <f t="shared" si="1"/>
        <v>01/20/2026</v>
      </c>
      <c r="DZ24" s="23" t="str">
        <f t="shared" si="1"/>
        <v>01/19/2026</v>
      </c>
      <c r="EA24" s="23" t="str">
        <f t="shared" si="1"/>
        <v>01/18/2026</v>
      </c>
      <c r="EB24" s="23" t="str">
        <f t="shared" si="1"/>
        <v>01/17/2026</v>
      </c>
      <c r="EC24" s="23" t="str">
        <f t="shared" si="1"/>
        <v>01/16/2026</v>
      </c>
      <c r="ED24" s="23" t="str">
        <f t="shared" si="1"/>
        <v>01/15/2026</v>
      </c>
      <c r="EE24" s="23" t="str">
        <f t="shared" si="1"/>
        <v>01/14/2026</v>
      </c>
      <c r="EF24" s="23" t="str">
        <f t="shared" si="1"/>
        <v>01/13/2026</v>
      </c>
      <c r="EG24" s="23" t="str">
        <f t="shared" si="1"/>
        <v>01/12/2026</v>
      </c>
      <c r="EH24" s="23" t="str">
        <f t="shared" si="1"/>
        <v>01/11/2026</v>
      </c>
      <c r="EI24" s="23" t="str">
        <f t="shared" si="1"/>
        <v>01/10/2026</v>
      </c>
      <c r="EJ24" s="23" t="str">
        <f t="shared" si="1"/>
        <v>01/09/2026</v>
      </c>
      <c r="EK24" s="23" t="str">
        <f t="shared" si="1"/>
        <v>01/08/2026</v>
      </c>
      <c r="EL24" s="23" t="str">
        <f t="shared" si="1"/>
        <v>01/07/2026</v>
      </c>
      <c r="EM24" s="23" t="str">
        <f t="shared" si="1"/>
        <v>01/06/2026</v>
      </c>
      <c r="EN24" s="23" t="str">
        <f t="shared" si="1"/>
        <v>01/05/2026</v>
      </c>
      <c r="EO24" s="23" t="str">
        <f t="shared" si="1"/>
        <v>01/04/2026</v>
      </c>
      <c r="EP24" s="23" t="str">
        <f t="shared" si="1"/>
        <v>01/03/2026</v>
      </c>
      <c r="EQ24" s="23" t="str">
        <f t="shared" si="1"/>
        <v>01/02/2026</v>
      </c>
      <c r="ER24" s="23" t="str">
        <f t="shared" si="1"/>
        <v>01/01/2026</v>
      </c>
      <c r="ES24" s="23" t="str">
        <f t="shared" si="1"/>
        <v>12/31/2025</v>
      </c>
      <c r="ET24" s="23" t="str">
        <f t="shared" si="1"/>
        <v>12/30/2025</v>
      </c>
      <c r="EU24" s="23" t="str">
        <f t="shared" si="1"/>
        <v>12/29/2025</v>
      </c>
      <c r="EV24" s="23" t="str">
        <f t="shared" si="1"/>
        <v>12/28/2025</v>
      </c>
      <c r="EW24" s="23" t="str">
        <f t="shared" si="1"/>
        <v>12/27/2025</v>
      </c>
      <c r="EX24" s="23" t="str">
        <f t="shared" si="1"/>
        <v>12/26/2025</v>
      </c>
      <c r="EY24" s="23" t="str">
        <f t="shared" si="1"/>
        <v>12/25/2025</v>
      </c>
      <c r="EZ24" s="23" t="str">
        <f t="shared" si="1"/>
        <v>12/24/2025</v>
      </c>
      <c r="FA24" s="23" t="str">
        <f t="shared" si="1"/>
        <v>12/23/2025</v>
      </c>
      <c r="FB24" s="23" t="str">
        <f t="shared" si="1"/>
        <v>12/22/2025</v>
      </c>
      <c r="FC24" s="23" t="str">
        <f t="shared" si="1"/>
        <v>12/21/2025</v>
      </c>
      <c r="FD24" s="23" t="str">
        <f t="shared" si="1"/>
        <v>12/20/2025</v>
      </c>
      <c r="FE24" s="23" t="str">
        <f t="shared" si="1"/>
        <v>12/19/2025</v>
      </c>
      <c r="FF24" s="23" t="str">
        <f t="shared" si="1"/>
        <v>12/18/2025</v>
      </c>
      <c r="FG24" s="23" t="str">
        <f t="shared" si="1"/>
        <v>12/17/2025</v>
      </c>
      <c r="FH24" s="23" t="str">
        <f t="shared" si="1"/>
        <v>12/16/2025</v>
      </c>
      <c r="FI24" s="23" t="str">
        <f t="shared" si="1"/>
        <v>12/15/2025</v>
      </c>
      <c r="FJ24" s="23" t="str">
        <f t="shared" si="1"/>
        <v>12/14/2025</v>
      </c>
      <c r="FK24" s="23" t="str">
        <f t="shared" si="1"/>
        <v>12/13/2025</v>
      </c>
      <c r="FL24" s="23" t="str">
        <f t="shared" si="1"/>
        <v>12/12/2025</v>
      </c>
      <c r="FM24" s="23" t="str">
        <f t="shared" si="1"/>
        <v>12/11/2025</v>
      </c>
      <c r="FN24" s="23" t="str">
        <f t="shared" si="1"/>
        <v>12/10/2025</v>
      </c>
      <c r="FO24" s="23" t="str">
        <f t="shared" si="1"/>
        <v>12/09/2025</v>
      </c>
      <c r="FP24" s="23" t="str">
        <f t="shared" si="1"/>
        <v>12/08/2025</v>
      </c>
      <c r="FQ24" s="23" t="str">
        <f t="shared" si="1"/>
        <v>12/07/2025</v>
      </c>
      <c r="FR24" s="23" t="str">
        <f t="shared" si="1"/>
        <v>12/06/2025</v>
      </c>
      <c r="FS24" s="23" t="str">
        <f t="shared" si="1"/>
        <v>12/05/2025</v>
      </c>
      <c r="FT24" s="23" t="str">
        <f t="shared" si="1"/>
        <v>12/04/2025</v>
      </c>
      <c r="FU24" s="23" t="str">
        <f t="shared" si="1"/>
        <v>12/03/2025</v>
      </c>
      <c r="FV24" s="23" t="str">
        <f t="shared" si="1"/>
        <v>12/02/2025</v>
      </c>
      <c r="FW24" s="23" t="str">
        <f t="shared" si="1"/>
        <v>12/01/2025</v>
      </c>
      <c r="FX24" s="23" t="str">
        <f t="shared" si="1"/>
        <v>11/30/2025</v>
      </c>
      <c r="FY24" s="23" t="str">
        <f t="shared" si="1"/>
        <v>11/29/2025</v>
      </c>
      <c r="FZ24" s="23" t="str">
        <f t="shared" si="1"/>
        <v>11/28/2025</v>
      </c>
      <c r="GA24" s="23" t="str">
        <f t="shared" si="1"/>
        <v>11/27/2025</v>
      </c>
      <c r="GB24" s="23" t="str">
        <f t="shared" si="1"/>
        <v>11/26/2025</v>
      </c>
      <c r="GC24" s="23" t="str">
        <f t="shared" si="1"/>
        <v>11/25/2025</v>
      </c>
      <c r="GD24" s="23" t="str">
        <f t="shared" si="1"/>
        <v>11/24/2025</v>
      </c>
      <c r="GE24" s="23" t="str">
        <f t="shared" si="1"/>
        <v>11/23/2025</v>
      </c>
      <c r="GF24" s="23" t="str">
        <f t="shared" si="1"/>
        <v>11/22/2025</v>
      </c>
      <c r="GG24" s="23" t="str">
        <f t="shared" si="1"/>
        <v>11/21/2025</v>
      </c>
      <c r="GH24" s="23" t="str">
        <f t="shared" si="1"/>
        <v>11/20/2025</v>
      </c>
      <c r="GI24" s="23" t="str">
        <f t="shared" si="1"/>
        <v>11/19/2025</v>
      </c>
      <c r="GJ24" s="23" t="str">
        <f t="shared" si="1"/>
        <v>11/18/2025</v>
      </c>
      <c r="GK24" s="23" t="str">
        <f t="shared" si="1"/>
        <v>11/17/2025</v>
      </c>
      <c r="GL24" s="23" t="str">
        <f t="shared" si="1"/>
        <v>11/16/2025</v>
      </c>
      <c r="GM24" s="23" t="str">
        <f t="shared" si="1"/>
        <v>11/15/2025</v>
      </c>
      <c r="GN24" s="23" t="str">
        <f t="shared" si="1"/>
        <v>11/14/2025</v>
      </c>
      <c r="GO24" s="23" t="str">
        <f t="shared" si="1"/>
        <v>11/13/2025</v>
      </c>
      <c r="GP24" s="23" t="str">
        <f t="shared" si="1"/>
        <v>11/12/2025</v>
      </c>
      <c r="GQ24" s="23" t="str">
        <f t="shared" si="1"/>
        <v>11/11/2025</v>
      </c>
      <c r="GR24" s="23" t="str">
        <f t="shared" si="1"/>
        <v>11/10/2025</v>
      </c>
      <c r="GS24" s="23" t="str">
        <f t="shared" si="1"/>
        <v>11/09/2025</v>
      </c>
      <c r="GT24" s="23" t="str">
        <f t="shared" si="1"/>
        <v>11/08/2025</v>
      </c>
      <c r="GU24" s="23" t="str">
        <f t="shared" si="1"/>
        <v>11/07/2025</v>
      </c>
      <c r="GV24" s="23" t="str">
        <f t="shared" si="1"/>
        <v>11/06/2025</v>
      </c>
      <c r="GW24" s="23" t="str">
        <f t="shared" si="1"/>
        <v>11/05/2025</v>
      </c>
      <c r="GX24" s="23" t="str">
        <f t="shared" si="1"/>
        <v>11/04/2025</v>
      </c>
      <c r="GY24" s="23" t="str">
        <f t="shared" si="1"/>
        <v>11/03/2025</v>
      </c>
      <c r="GZ24" s="23" t="str">
        <f t="shared" si="1"/>
        <v>11/02/2025</v>
      </c>
      <c r="HA24" s="23" t="str">
        <f t="shared" si="1"/>
        <v>11/01/2025</v>
      </c>
      <c r="HB24" s="23" t="str">
        <f t="shared" si="1"/>
        <v>10/31/2025</v>
      </c>
      <c r="HC24" s="23" t="str">
        <f t="shared" si="1"/>
        <v>10/30/2025</v>
      </c>
      <c r="HD24" s="23" t="str">
        <f t="shared" si="1"/>
        <v>10/29/2025</v>
      </c>
      <c r="HE24" s="23" t="str">
        <f t="shared" si="1"/>
        <v>10/28/2025</v>
      </c>
      <c r="HF24" s="23" t="str">
        <f t="shared" si="1"/>
        <v>10/27/2025</v>
      </c>
      <c r="HG24" s="23" t="str">
        <f t="shared" si="1"/>
        <v>10/26/2025</v>
      </c>
      <c r="HH24" s="23" t="str">
        <f t="shared" si="1"/>
        <v>10/25/2025</v>
      </c>
      <c r="HI24" s="23" t="str">
        <f t="shared" si="1"/>
        <v>10/24/2025</v>
      </c>
      <c r="HJ24" s="23" t="str">
        <f t="shared" si="1"/>
        <v>10/23/2025</v>
      </c>
      <c r="HK24" s="23" t="str">
        <f t="shared" si="1"/>
        <v>10/22/2025</v>
      </c>
      <c r="HL24" s="23" t="str">
        <f t="shared" si="1"/>
        <v>10/21/2025</v>
      </c>
      <c r="HM24" s="23" t="str">
        <f t="shared" si="1"/>
        <v>10/20/2025</v>
      </c>
      <c r="HN24" s="23" t="str">
        <f t="shared" si="1"/>
        <v>10/19/2025</v>
      </c>
      <c r="HO24" s="23" t="str">
        <f t="shared" si="1"/>
        <v>10/18/2025</v>
      </c>
      <c r="HP24" s="23" t="str">
        <f t="shared" si="1"/>
        <v>10/17/2025</v>
      </c>
      <c r="HQ24" s="23" t="str">
        <f t="shared" si="1"/>
        <v>10/16/2025</v>
      </c>
      <c r="HR24" s="23" t="str">
        <f t="shared" si="1"/>
        <v>10/15/2025</v>
      </c>
      <c r="HS24" s="23" t="str">
        <f t="shared" si="1"/>
        <v>10/14/2025</v>
      </c>
      <c r="HT24" s="23" t="str">
        <f t="shared" si="1"/>
        <v>10/13/2025</v>
      </c>
      <c r="HU24" s="23" t="str">
        <f t="shared" si="1"/>
        <v>10/12/2025</v>
      </c>
      <c r="HV24" s="23" t="str">
        <f t="shared" si="1"/>
        <v>10/11/2025</v>
      </c>
      <c r="HW24" s="23" t="str">
        <f t="shared" si="1"/>
        <v>10/10/2025</v>
      </c>
      <c r="HX24" s="23" t="str">
        <f t="shared" si="1"/>
        <v>10/09/2025</v>
      </c>
      <c r="HY24" s="23" t="str">
        <f t="shared" si="1"/>
        <v>10/08/2025</v>
      </c>
      <c r="HZ24" s="23" t="str">
        <f t="shared" si="1"/>
        <v>10/07/2025</v>
      </c>
      <c r="IA24" s="23" t="str">
        <f t="shared" si="1"/>
        <v>10/06/2025</v>
      </c>
      <c r="IB24" s="23" t="str">
        <f t="shared" si="1"/>
        <v>10/05/2025</v>
      </c>
      <c r="IC24" s="23" t="str">
        <f t="shared" si="1"/>
        <v>10/04/2025</v>
      </c>
      <c r="ID24" s="23" t="str">
        <f t="shared" si="1"/>
        <v>10/03/2025</v>
      </c>
      <c r="IE24" s="23" t="str">
        <f t="shared" si="1"/>
        <v>10/02/2025</v>
      </c>
      <c r="IF24" s="23" t="str">
        <f t="shared" si="1"/>
        <v>10/01/2025</v>
      </c>
      <c r="IG24" s="23" t="str">
        <f t="shared" si="1"/>
        <v>09/30/2025</v>
      </c>
      <c r="IH24" s="23" t="str">
        <f t="shared" si="1"/>
        <v>09/29/2025</v>
      </c>
      <c r="II24" s="23" t="str">
        <f t="shared" si="1"/>
        <v>09/28/2025</v>
      </c>
      <c r="IJ24" s="23" t="str">
        <f t="shared" si="1"/>
        <v>09/27/2025</v>
      </c>
      <c r="IK24" s="23" t="str">
        <f t="shared" si="1"/>
        <v>09/26/2025</v>
      </c>
      <c r="IL24" s="23" t="str">
        <f t="shared" si="1"/>
        <v>09/25/2025</v>
      </c>
      <c r="IM24" s="23" t="str">
        <f t="shared" si="1"/>
        <v>09/24/2025</v>
      </c>
      <c r="IN24" s="23" t="str">
        <f t="shared" si="1"/>
        <v>09/23/2025</v>
      </c>
      <c r="IO24" s="23" t="str">
        <f t="shared" si="1"/>
        <v>09/22/2025</v>
      </c>
      <c r="IP24" s="23" t="str">
        <f t="shared" si="1"/>
        <v>09/21/2025</v>
      </c>
      <c r="IQ24" s="23" t="str">
        <f t="shared" si="1"/>
        <v>09/20/2025</v>
      </c>
      <c r="IR24" s="23" t="str">
        <f t="shared" si="1"/>
        <v>09/19/2025</v>
      </c>
      <c r="IS24" s="23" t="str">
        <f t="shared" si="1"/>
        <v>09/18/2025</v>
      </c>
      <c r="IT24" s="23" t="str">
        <f t="shared" si="1"/>
        <v>09/17/2025</v>
      </c>
      <c r="IU24" s="23" t="str">
        <f t="shared" si="1"/>
        <v>09/16/2025</v>
      </c>
      <c r="IV24" s="23" t="str">
        <f t="shared" si="1"/>
        <v>09/15/2025</v>
      </c>
      <c r="IW24" s="23" t="str">
        <f t="shared" si="1"/>
        <v>09/14/2025</v>
      </c>
      <c r="IX24" s="23" t="str">
        <f t="shared" si="1"/>
        <v>09/13/2025</v>
      </c>
      <c r="IY24" s="23" t="str">
        <f t="shared" si="1"/>
        <v>09/12/2025</v>
      </c>
      <c r="IZ24" s="23" t="str">
        <f t="shared" si="1"/>
        <v>09/11/2025</v>
      </c>
      <c r="JA24" s="23" t="str">
        <f t="shared" si="1"/>
        <v>09/10/2025</v>
      </c>
      <c r="JB24" s="23" t="str">
        <f t="shared" si="1"/>
        <v>09/09/2025</v>
      </c>
      <c r="JC24" s="23" t="str">
        <f t="shared" si="1"/>
        <v>09/08/2025</v>
      </c>
      <c r="JD24" s="23" t="str">
        <f t="shared" si="1"/>
        <v>09/07/2025</v>
      </c>
      <c r="JE24" s="23" t="str">
        <f t="shared" si="1"/>
        <v>09/06/2025</v>
      </c>
      <c r="JF24" s="23" t="str">
        <f t="shared" si="1"/>
        <v>09/05/2025</v>
      </c>
      <c r="JG24" s="23" t="str">
        <f t="shared" si="1"/>
        <v>09/04/2025</v>
      </c>
      <c r="JH24" s="23" t="str">
        <f t="shared" si="1"/>
        <v>09/03/2025</v>
      </c>
      <c r="JI24" s="23" t="str">
        <f t="shared" si="1"/>
        <v>09/02/2025</v>
      </c>
      <c r="JJ24" s="23" t="str">
        <f t="shared" si="1"/>
        <v>09/01/2025</v>
      </c>
      <c r="JK24" s="23" t="str">
        <f t="shared" si="1"/>
        <v>08/31/2025</v>
      </c>
      <c r="JL24" s="23" t="str">
        <f t="shared" si="1"/>
        <v>08/30/2025</v>
      </c>
      <c r="JM24" s="23" t="str">
        <f t="shared" si="1"/>
        <v>08/29/2025</v>
      </c>
      <c r="JN24" s="23" t="str">
        <f t="shared" si="1"/>
        <v>08/28/2025</v>
      </c>
      <c r="JO24" s="23" t="str">
        <f t="shared" si="1"/>
        <v>08/27/2025</v>
      </c>
      <c r="JP24" s="23" t="str">
        <f t="shared" si="1"/>
        <v>08/26/2025</v>
      </c>
      <c r="JQ24" s="23" t="str">
        <f t="shared" si="1"/>
        <v>08/25/2025</v>
      </c>
      <c r="JR24" s="23" t="str">
        <f t="shared" si="1"/>
        <v>08/24/2025</v>
      </c>
      <c r="JS24" s="23" t="str">
        <f t="shared" si="1"/>
        <v>08/23/2025</v>
      </c>
      <c r="JT24" s="23" t="str">
        <f t="shared" si="1"/>
        <v>08/22/2025</v>
      </c>
      <c r="JU24" s="23" t="str">
        <f t="shared" si="1"/>
        <v>08/21/2025</v>
      </c>
      <c r="JV24" s="23" t="str">
        <f t="shared" si="1"/>
        <v>08/20/2025</v>
      </c>
      <c r="JW24" s="23" t="str">
        <f t="shared" si="1"/>
        <v>08/19/2025</v>
      </c>
      <c r="JX24" s="23" t="str">
        <f t="shared" si="1"/>
        <v>08/18/2025</v>
      </c>
      <c r="JY24" s="23" t="str">
        <f t="shared" si="1"/>
        <v>08/17/2025</v>
      </c>
      <c r="JZ24" s="23" t="str">
        <f t="shared" si="1"/>
        <v>08/16/2025</v>
      </c>
      <c r="KA24" s="23" t="str">
        <f t="shared" si="1"/>
        <v>08/15/2025</v>
      </c>
      <c r="KB24" s="23" t="str">
        <f t="shared" si="1"/>
        <v>08/14/2025</v>
      </c>
      <c r="KC24" s="23" t="str">
        <f t="shared" si="1"/>
        <v>08/13/2025</v>
      </c>
      <c r="KD24" s="23" t="str">
        <f t="shared" si="1"/>
        <v>08/12/2025</v>
      </c>
      <c r="KE24" s="23" t="str">
        <f t="shared" si="1"/>
        <v>08/11/2025</v>
      </c>
      <c r="KF24" s="23" t="str">
        <f t="shared" si="1"/>
        <v>08/10/2025</v>
      </c>
      <c r="KG24" s="23" t="str">
        <f t="shared" si="1"/>
        <v>08/09/2025</v>
      </c>
      <c r="KH24" s="23" t="str">
        <f t="shared" si="1"/>
        <v>08/08/2025</v>
      </c>
      <c r="KI24" s="23" t="str">
        <f t="shared" si="1"/>
        <v>08/07/2025</v>
      </c>
      <c r="KJ24" s="23" t="str">
        <f t="shared" si="1"/>
        <v>08/06/2025</v>
      </c>
      <c r="KK24" s="23" t="str">
        <f t="shared" si="1"/>
        <v>08/05/2025</v>
      </c>
      <c r="KL24" s="23" t="str">
        <f t="shared" si="1"/>
        <v>08/04/2025</v>
      </c>
      <c r="KM24" s="23" t="str">
        <f t="shared" si="1"/>
        <v>08/03/2025</v>
      </c>
      <c r="KN24" s="23" t="str">
        <f t="shared" si="1"/>
        <v>08/02/2025</v>
      </c>
      <c r="KO24" s="23" t="str">
        <f t="shared" si="1"/>
        <v>08/01/2025</v>
      </c>
      <c r="KP24" s="23" t="str">
        <f t="shared" si="1"/>
        <v>07/31/2025</v>
      </c>
      <c r="KQ24" s="23" t="str">
        <f t="shared" si="1"/>
        <v>07/30/2025</v>
      </c>
      <c r="KR24" s="23" t="str">
        <f t="shared" si="1"/>
        <v>07/29/2025</v>
      </c>
      <c r="KS24" s="23" t="str">
        <f t="shared" si="1"/>
        <v>07/28/2025</v>
      </c>
      <c r="KT24" s="23" t="str">
        <f t="shared" si="1"/>
        <v>07/27/2025</v>
      </c>
      <c r="KU24" s="23" t="str">
        <f t="shared" si="1"/>
        <v>07/26/2025</v>
      </c>
      <c r="KV24" s="23" t="str">
        <f t="shared" si="1"/>
        <v>07/25/2025</v>
      </c>
      <c r="KW24" s="23" t="str">
        <f t="shared" si="1"/>
        <v>07/24/2025</v>
      </c>
      <c r="KX24" s="23" t="str">
        <f t="shared" si="1"/>
        <v>07/23/2025</v>
      </c>
      <c r="KY24" s="23" t="str">
        <f t="shared" si="1"/>
        <v>07/22/2025</v>
      </c>
      <c r="KZ24" s="23" t="str">
        <f t="shared" si="1"/>
        <v>07/21/2025</v>
      </c>
      <c r="LA24" s="23" t="str">
        <f t="shared" si="1"/>
        <v>07/20/2025</v>
      </c>
      <c r="LB24" s="23" t="str">
        <f t="shared" si="1"/>
        <v>07/19/2025</v>
      </c>
      <c r="LC24" s="23" t="str">
        <f t="shared" si="1"/>
        <v>07/18/2025</v>
      </c>
      <c r="LD24" s="23" t="str">
        <f t="shared" si="1"/>
        <v>07/17/2025</v>
      </c>
      <c r="LE24" s="23" t="str">
        <f t="shared" si="1"/>
        <v>07/16/2025</v>
      </c>
      <c r="LF24" s="23" t="str">
        <f t="shared" si="1"/>
        <v>07/15/2025</v>
      </c>
      <c r="LG24" s="23" t="str">
        <f t="shared" si="1"/>
        <v>07/14/2025</v>
      </c>
      <c r="LH24" s="23" t="str">
        <f t="shared" si="1"/>
        <v>07/13/2025</v>
      </c>
      <c r="LI24" s="23" t="str">
        <f t="shared" si="1"/>
        <v>07/12/2025</v>
      </c>
      <c r="LJ24" s="23" t="str">
        <f t="shared" si="1"/>
        <v>07/11/2025</v>
      </c>
      <c r="LK24" s="23" t="str">
        <f t="shared" si="1"/>
        <v>07/10/2025</v>
      </c>
      <c r="LL24" s="23" t="str">
        <f t="shared" si="1"/>
        <v>07/09/2025</v>
      </c>
      <c r="LM24" s="23" t="str">
        <f t="shared" si="1"/>
        <v>07/08/2025</v>
      </c>
      <c r="LN24" s="23" t="str">
        <f t="shared" si="1"/>
        <v>07/07/2025</v>
      </c>
      <c r="LO24" s="23" t="str">
        <f t="shared" si="1"/>
        <v>07/06/2025</v>
      </c>
      <c r="LP24" s="23" t="str">
        <f t="shared" si="1"/>
        <v>07/05/2025</v>
      </c>
      <c r="LQ24" s="23" t="str">
        <f t="shared" si="1"/>
        <v>07/04/2025</v>
      </c>
      <c r="LR24" s="23" t="str">
        <f t="shared" si="1"/>
        <v>07/03/2025</v>
      </c>
      <c r="LS24" s="23" t="str">
        <f t="shared" si="1"/>
        <v>07/02/2025</v>
      </c>
      <c r="LT24" s="23" t="str">
        <f t="shared" si="1"/>
        <v>07/01/2025</v>
      </c>
      <c r="LU24" s="23" t="str">
        <f t="shared" si="1"/>
        <v>06/30/2025</v>
      </c>
      <c r="LV24" s="23" t="str">
        <f t="shared" si="1"/>
        <v>06/29/2025</v>
      </c>
      <c r="LW24" s="23" t="str">
        <f t="shared" si="1"/>
        <v>06/28/2025</v>
      </c>
      <c r="LX24" s="23" t="str">
        <f t="shared" si="1"/>
        <v>06/27/2025</v>
      </c>
      <c r="LY24" s="23" t="str">
        <f t="shared" si="1"/>
        <v>06/26/2025</v>
      </c>
      <c r="LZ24" s="23" t="str">
        <f t="shared" si="1"/>
        <v>06/25/2025</v>
      </c>
      <c r="MA24" s="23" t="str">
        <f t="shared" si="1"/>
        <v>06/24/2025</v>
      </c>
      <c r="MB24" s="23" t="str">
        <f t="shared" si="1"/>
        <v>06/23/2025</v>
      </c>
      <c r="MC24" s="23" t="str">
        <f t="shared" si="1"/>
        <v>06/22/2025</v>
      </c>
      <c r="MD24" s="23" t="str">
        <f t="shared" si="1"/>
        <v>06/21/2025</v>
      </c>
      <c r="ME24" s="23" t="str">
        <f t="shared" si="1"/>
        <v>06/20/2025</v>
      </c>
      <c r="MF24" s="23" t="str">
        <f t="shared" si="1"/>
        <v>06/19/2025</v>
      </c>
      <c r="MG24" s="23" t="str">
        <f t="shared" si="1"/>
        <v>06/18/2025</v>
      </c>
      <c r="MH24" s="23" t="str">
        <f t="shared" si="1"/>
        <v>06/17/2025</v>
      </c>
      <c r="MI24" s="23" t="str">
        <f t="shared" si="1"/>
        <v>06/16/2025</v>
      </c>
      <c r="MJ24" s="23" t="str">
        <f t="shared" si="1"/>
        <v>06/15/2025</v>
      </c>
      <c r="MK24" s="23" t="str">
        <f t="shared" si="1"/>
        <v>06/14/2025</v>
      </c>
      <c r="ML24" s="23" t="str">
        <f t="shared" si="1"/>
        <v>06/13/2025</v>
      </c>
      <c r="MM24" s="23" t="str">
        <f t="shared" si="1"/>
        <v>06/12/2025</v>
      </c>
      <c r="MN24" s="23" t="str">
        <f t="shared" si="1"/>
        <v>06/11/2025</v>
      </c>
      <c r="MO24" s="23" t="str">
        <f t="shared" si="1"/>
        <v>06/10/2025</v>
      </c>
      <c r="MP24" s="23" t="str">
        <f t="shared" si="1"/>
        <v>06/09/2025</v>
      </c>
      <c r="MQ24" s="23" t="str">
        <f t="shared" si="1"/>
        <v>06/08/2025</v>
      </c>
      <c r="MR24" s="23" t="str">
        <f t="shared" si="1"/>
        <v>06/07/2025</v>
      </c>
      <c r="MS24" s="23" t="str">
        <f t="shared" si="1"/>
        <v>06/06/2025</v>
      </c>
      <c r="MT24" s="23" t="str">
        <f t="shared" si="1"/>
        <v>06/05/2025</v>
      </c>
      <c r="MU24" s="23" t="str">
        <f t="shared" si="1"/>
        <v>06/04/2025</v>
      </c>
      <c r="MV24" s="23" t="str">
        <f t="shared" si="1"/>
        <v>06/03/2025</v>
      </c>
      <c r="MW24" s="23" t="str">
        <f t="shared" si="1"/>
        <v>06/02/2025</v>
      </c>
      <c r="MX24" s="23" t="str">
        <f t="shared" si="1"/>
        <v>06/01/2025</v>
      </c>
      <c r="MY24" s="23" t="str">
        <f t="shared" si="1"/>
        <v>05/31/2025</v>
      </c>
      <c r="MZ24" s="23" t="str">
        <f t="shared" si="1"/>
        <v>05/30/2025</v>
      </c>
      <c r="NA24" s="23" t="str">
        <f t="shared" si="1"/>
        <v>05/29/2025</v>
      </c>
      <c r="NB24" s="24" t="str">
        <f t="shared" si="1"/>
        <v>05/28/2025</v>
      </c>
    </row>
    <row r="25" ht="15.75" customHeight="1">
      <c r="B25" s="25" t="str">
        <f>B6</f>
        <v>Crude Oil Tanker</v>
      </c>
      <c r="C25" s="26">
        <f t="shared" ref="C25:NB25" si="2">C8*$C$17</f>
        <v>2195518.25</v>
      </c>
      <c r="D25" s="26">
        <f t="shared" si="2"/>
        <v>0</v>
      </c>
      <c r="E25" s="26">
        <f t="shared" si="2"/>
        <v>0</v>
      </c>
      <c r="F25" s="26">
        <f t="shared" si="2"/>
        <v>2346494.26</v>
      </c>
      <c r="G25" s="26">
        <f t="shared" si="2"/>
        <v>0</v>
      </c>
      <c r="H25" s="26">
        <f t="shared" si="2"/>
        <v>520100.15</v>
      </c>
      <c r="I25" s="26">
        <f t="shared" si="2"/>
        <v>0</v>
      </c>
      <c r="J25" s="26">
        <f t="shared" si="2"/>
        <v>0</v>
      </c>
      <c r="K25" s="26">
        <f t="shared" si="2"/>
        <v>14696.65</v>
      </c>
      <c r="L25" s="26">
        <f t="shared" si="2"/>
        <v>0</v>
      </c>
      <c r="M25" s="26">
        <f t="shared" si="2"/>
        <v>43041.76</v>
      </c>
      <c r="N25" s="26">
        <f t="shared" si="2"/>
        <v>0</v>
      </c>
      <c r="O25" s="26">
        <f t="shared" si="2"/>
        <v>0</v>
      </c>
      <c r="P25" s="26">
        <f t="shared" si="2"/>
        <v>4550464</v>
      </c>
      <c r="Q25" s="26">
        <f t="shared" si="2"/>
        <v>0</v>
      </c>
      <c r="R25" s="26">
        <f t="shared" si="2"/>
        <v>0</v>
      </c>
      <c r="S25" s="26">
        <f t="shared" si="2"/>
        <v>0</v>
      </c>
      <c r="T25" s="26">
        <f t="shared" si="2"/>
        <v>0</v>
      </c>
      <c r="U25" s="26">
        <f t="shared" si="2"/>
        <v>0</v>
      </c>
      <c r="V25" s="26">
        <f t="shared" si="2"/>
        <v>0</v>
      </c>
      <c r="W25" s="26">
        <f t="shared" si="2"/>
        <v>0</v>
      </c>
      <c r="X25" s="26">
        <f t="shared" si="2"/>
        <v>0</v>
      </c>
      <c r="Y25" s="26">
        <f t="shared" si="2"/>
        <v>0</v>
      </c>
      <c r="Z25" s="26">
        <f t="shared" si="2"/>
        <v>0</v>
      </c>
      <c r="AA25" s="26">
        <f t="shared" si="2"/>
        <v>0</v>
      </c>
      <c r="AB25" s="26">
        <f t="shared" si="2"/>
        <v>0</v>
      </c>
      <c r="AC25" s="26">
        <f t="shared" si="2"/>
        <v>48399.99</v>
      </c>
      <c r="AD25" s="26">
        <f t="shared" si="2"/>
        <v>80974.51</v>
      </c>
      <c r="AE25" s="26">
        <f t="shared" si="2"/>
        <v>2202173.89</v>
      </c>
      <c r="AF25" s="26">
        <f t="shared" si="2"/>
        <v>0</v>
      </c>
      <c r="AG25" s="26">
        <f t="shared" si="2"/>
        <v>0</v>
      </c>
      <c r="AH25" s="26">
        <f t="shared" si="2"/>
        <v>0</v>
      </c>
      <c r="AI25" s="26">
        <f t="shared" si="2"/>
        <v>0</v>
      </c>
      <c r="AJ25" s="26">
        <f t="shared" si="2"/>
        <v>32985</v>
      </c>
      <c r="AK25" s="26">
        <f t="shared" si="2"/>
        <v>535119.32</v>
      </c>
      <c r="AL25" s="26">
        <f t="shared" si="2"/>
        <v>0</v>
      </c>
      <c r="AM25" s="26">
        <f t="shared" si="2"/>
        <v>0</v>
      </c>
      <c r="AN25" s="26">
        <f t="shared" si="2"/>
        <v>0</v>
      </c>
      <c r="AO25" s="26">
        <f t="shared" si="2"/>
        <v>3054051.83</v>
      </c>
      <c r="AP25" s="26">
        <f t="shared" si="2"/>
        <v>0</v>
      </c>
      <c r="AQ25" s="26">
        <f t="shared" si="2"/>
        <v>771958.95</v>
      </c>
      <c r="AR25" s="26">
        <f t="shared" si="2"/>
        <v>0</v>
      </c>
      <c r="AS25" s="26">
        <f t="shared" si="2"/>
        <v>0</v>
      </c>
      <c r="AT25" s="26">
        <f t="shared" si="2"/>
        <v>0</v>
      </c>
      <c r="AU25" s="26">
        <f t="shared" si="2"/>
        <v>0</v>
      </c>
      <c r="AV25" s="26">
        <f t="shared" si="2"/>
        <v>6805142.68</v>
      </c>
      <c r="AW25" s="26">
        <f t="shared" si="2"/>
        <v>0</v>
      </c>
      <c r="AX25" s="26">
        <f t="shared" si="2"/>
        <v>1215783.12</v>
      </c>
      <c r="AY25" s="26">
        <f t="shared" si="2"/>
        <v>0</v>
      </c>
      <c r="AZ25" s="26">
        <f t="shared" si="2"/>
        <v>0</v>
      </c>
      <c r="BA25" s="26">
        <f t="shared" si="2"/>
        <v>0</v>
      </c>
      <c r="BB25" s="26">
        <f t="shared" si="2"/>
        <v>1934350.35</v>
      </c>
      <c r="BC25" s="26">
        <f t="shared" si="2"/>
        <v>0</v>
      </c>
      <c r="BD25" s="26">
        <f t="shared" si="2"/>
        <v>0</v>
      </c>
      <c r="BE25" s="26">
        <f t="shared" si="2"/>
        <v>0</v>
      </c>
      <c r="BF25" s="26">
        <f t="shared" si="2"/>
        <v>0</v>
      </c>
      <c r="BG25" s="26">
        <f t="shared" si="2"/>
        <v>0</v>
      </c>
      <c r="BH25" s="26">
        <f t="shared" si="2"/>
        <v>0</v>
      </c>
      <c r="BI25" s="26">
        <f t="shared" si="2"/>
        <v>780645</v>
      </c>
      <c r="BJ25" s="26">
        <f t="shared" si="2"/>
        <v>0</v>
      </c>
      <c r="BK25" s="26">
        <f t="shared" si="2"/>
        <v>0</v>
      </c>
      <c r="BL25" s="26">
        <f t="shared" si="2"/>
        <v>0</v>
      </c>
      <c r="BM25" s="26">
        <f t="shared" si="2"/>
        <v>0</v>
      </c>
      <c r="BN25" s="26">
        <f t="shared" si="2"/>
        <v>0</v>
      </c>
      <c r="BO25" s="26">
        <f t="shared" si="2"/>
        <v>0</v>
      </c>
      <c r="BP25" s="26">
        <f t="shared" si="2"/>
        <v>0</v>
      </c>
      <c r="BQ25" s="26">
        <f t="shared" si="2"/>
        <v>0</v>
      </c>
      <c r="BR25" s="26">
        <f t="shared" si="2"/>
        <v>533675.31</v>
      </c>
      <c r="BS25" s="26">
        <f t="shared" si="2"/>
        <v>0</v>
      </c>
      <c r="BT25" s="26">
        <f t="shared" si="2"/>
        <v>0</v>
      </c>
      <c r="BU25" s="26">
        <f t="shared" si="2"/>
        <v>0</v>
      </c>
      <c r="BV25" s="26">
        <f t="shared" si="2"/>
        <v>0</v>
      </c>
      <c r="BW25" s="26">
        <f t="shared" si="2"/>
        <v>2993601.32</v>
      </c>
      <c r="BX25" s="26">
        <f t="shared" si="2"/>
        <v>0</v>
      </c>
      <c r="BY25" s="26">
        <f t="shared" si="2"/>
        <v>0</v>
      </c>
      <c r="BZ25" s="26">
        <f t="shared" si="2"/>
        <v>0</v>
      </c>
      <c r="CA25" s="26">
        <f t="shared" si="2"/>
        <v>2191464.76</v>
      </c>
      <c r="CB25" s="26">
        <f t="shared" si="2"/>
        <v>0</v>
      </c>
      <c r="CC25" s="26">
        <f t="shared" si="2"/>
        <v>2170178.44</v>
      </c>
      <c r="CD25" s="26">
        <f t="shared" si="2"/>
        <v>1152796.43</v>
      </c>
      <c r="CE25" s="26">
        <f t="shared" si="2"/>
        <v>2060096.5</v>
      </c>
      <c r="CF25" s="26">
        <f t="shared" si="2"/>
        <v>0</v>
      </c>
      <c r="CG25" s="26">
        <f t="shared" si="2"/>
        <v>45028.19</v>
      </c>
      <c r="CH25" s="26">
        <f t="shared" si="2"/>
        <v>0</v>
      </c>
      <c r="CI25" s="26">
        <f t="shared" si="2"/>
        <v>43151.71</v>
      </c>
      <c r="CJ25" s="26">
        <f t="shared" si="2"/>
        <v>108527.98</v>
      </c>
      <c r="CK25" s="26">
        <f t="shared" si="2"/>
        <v>3142209.74</v>
      </c>
      <c r="CL25" s="26">
        <f t="shared" si="2"/>
        <v>23799197.93</v>
      </c>
      <c r="CM25" s="26">
        <f t="shared" si="2"/>
        <v>25472065.19</v>
      </c>
      <c r="CN25" s="26">
        <f t="shared" si="2"/>
        <v>14113086.71</v>
      </c>
      <c r="CO25" s="26">
        <f t="shared" si="2"/>
        <v>27747597.72</v>
      </c>
      <c r="CP25" s="26">
        <f t="shared" si="2"/>
        <v>17054161.25</v>
      </c>
      <c r="CQ25" s="26">
        <f t="shared" si="2"/>
        <v>17341614.53</v>
      </c>
      <c r="CR25" s="26">
        <f t="shared" si="2"/>
        <v>21263706.95</v>
      </c>
      <c r="CS25" s="26">
        <f t="shared" si="2"/>
        <v>17932112</v>
      </c>
      <c r="CT25" s="26">
        <f t="shared" si="2"/>
        <v>16156851.97</v>
      </c>
      <c r="CU25" s="26">
        <f t="shared" si="2"/>
        <v>20158196.35</v>
      </c>
      <c r="CV25" s="26">
        <f t="shared" si="2"/>
        <v>22295910.22</v>
      </c>
      <c r="CW25" s="26">
        <f t="shared" si="2"/>
        <v>21838334.97</v>
      </c>
      <c r="CX25" s="26">
        <f t="shared" si="2"/>
        <v>25630957.6</v>
      </c>
      <c r="CY25" s="26">
        <f t="shared" si="2"/>
        <v>19839194.75</v>
      </c>
      <c r="CZ25" s="26">
        <f t="shared" si="2"/>
        <v>22525705.72</v>
      </c>
      <c r="DA25" s="26">
        <f t="shared" si="2"/>
        <v>21871972.34</v>
      </c>
      <c r="DB25" s="26">
        <f t="shared" si="2"/>
        <v>22426149.66</v>
      </c>
      <c r="DC25" s="26">
        <f t="shared" si="2"/>
        <v>18829795.11</v>
      </c>
      <c r="DD25" s="26">
        <f t="shared" si="2"/>
        <v>26770288.82</v>
      </c>
      <c r="DE25" s="26">
        <f t="shared" si="2"/>
        <v>17601235.8</v>
      </c>
      <c r="DF25" s="26">
        <f t="shared" si="2"/>
        <v>16286453.7</v>
      </c>
      <c r="DG25" s="26">
        <f t="shared" si="2"/>
        <v>18207338.84</v>
      </c>
      <c r="DH25" s="26">
        <f t="shared" si="2"/>
        <v>17843191.77</v>
      </c>
      <c r="DI25" s="26">
        <f t="shared" si="2"/>
        <v>17804848.54</v>
      </c>
      <c r="DJ25" s="26">
        <f t="shared" si="2"/>
        <v>16765703.76</v>
      </c>
      <c r="DK25" s="26">
        <f t="shared" si="2"/>
        <v>21268486.11</v>
      </c>
      <c r="DL25" s="26">
        <f t="shared" si="2"/>
        <v>29020694.11</v>
      </c>
      <c r="DM25" s="26">
        <f t="shared" si="2"/>
        <v>17024753.29</v>
      </c>
      <c r="DN25" s="26">
        <f t="shared" si="2"/>
        <v>26859942.05</v>
      </c>
      <c r="DO25" s="26">
        <f t="shared" si="2"/>
        <v>25602370.6</v>
      </c>
      <c r="DP25" s="26">
        <f t="shared" si="2"/>
        <v>25645918.13</v>
      </c>
      <c r="DQ25" s="26">
        <f t="shared" si="2"/>
        <v>13578766.36</v>
      </c>
      <c r="DR25" s="26">
        <f t="shared" si="2"/>
        <v>16569267.09</v>
      </c>
      <c r="DS25" s="26">
        <f t="shared" si="2"/>
        <v>21648546.61</v>
      </c>
      <c r="DT25" s="26">
        <f t="shared" si="2"/>
        <v>29621783.43</v>
      </c>
      <c r="DU25" s="26">
        <f t="shared" si="2"/>
        <v>13714041.51</v>
      </c>
      <c r="DV25" s="26">
        <f t="shared" si="2"/>
        <v>19120854.75</v>
      </c>
      <c r="DW25" s="26">
        <f t="shared" si="2"/>
        <v>13818889.83</v>
      </c>
      <c r="DX25" s="26">
        <f t="shared" si="2"/>
        <v>29441568.05</v>
      </c>
      <c r="DY25" s="26">
        <f t="shared" si="2"/>
        <v>20586994.02</v>
      </c>
      <c r="DZ25" s="26">
        <f t="shared" si="2"/>
        <v>15206128.98</v>
      </c>
      <c r="EA25" s="26">
        <f t="shared" si="2"/>
        <v>19205179.07</v>
      </c>
      <c r="EB25" s="26">
        <f t="shared" si="2"/>
        <v>12728339.76</v>
      </c>
      <c r="EC25" s="26">
        <f t="shared" si="2"/>
        <v>18719332.01</v>
      </c>
      <c r="ED25" s="26">
        <f t="shared" si="2"/>
        <v>21294874.11</v>
      </c>
      <c r="EE25" s="26">
        <f t="shared" si="2"/>
        <v>17801315.48</v>
      </c>
      <c r="EF25" s="26">
        <f t="shared" si="2"/>
        <v>17264796.13</v>
      </c>
      <c r="EG25" s="26">
        <f t="shared" si="2"/>
        <v>21418157.38</v>
      </c>
      <c r="EH25" s="26">
        <f t="shared" si="2"/>
        <v>15209288.21</v>
      </c>
      <c r="EI25" s="26">
        <f t="shared" si="2"/>
        <v>26837864.09</v>
      </c>
      <c r="EJ25" s="26">
        <f t="shared" si="2"/>
        <v>24094501.64</v>
      </c>
      <c r="EK25" s="26">
        <f t="shared" si="2"/>
        <v>20327761.24</v>
      </c>
      <c r="EL25" s="26">
        <f t="shared" si="2"/>
        <v>16252046.68</v>
      </c>
      <c r="EM25" s="26">
        <f t="shared" si="2"/>
        <v>12679844.48</v>
      </c>
      <c r="EN25" s="26">
        <f t="shared" si="2"/>
        <v>17838852.41</v>
      </c>
      <c r="EO25" s="26">
        <f t="shared" si="2"/>
        <v>20875576.12</v>
      </c>
      <c r="EP25" s="26">
        <f t="shared" si="2"/>
        <v>20039487</v>
      </c>
      <c r="EQ25" s="26">
        <f t="shared" si="2"/>
        <v>20340698.69</v>
      </c>
      <c r="ER25" s="26">
        <f t="shared" si="2"/>
        <v>16470839.85</v>
      </c>
      <c r="ES25" s="26">
        <f t="shared" si="2"/>
        <v>8854478.74</v>
      </c>
      <c r="ET25" s="26">
        <f t="shared" si="2"/>
        <v>14423013.77</v>
      </c>
      <c r="EU25" s="26">
        <f t="shared" si="2"/>
        <v>8761908.17</v>
      </c>
      <c r="EV25" s="26">
        <f t="shared" si="2"/>
        <v>20799835.23</v>
      </c>
      <c r="EW25" s="26">
        <f t="shared" si="2"/>
        <v>26886168.79</v>
      </c>
      <c r="EX25" s="26">
        <f t="shared" si="2"/>
        <v>28695315.41</v>
      </c>
      <c r="EY25" s="26">
        <f t="shared" si="2"/>
        <v>16017024.89</v>
      </c>
      <c r="EZ25" s="26">
        <f t="shared" si="2"/>
        <v>18183311.1</v>
      </c>
      <c r="FA25" s="26">
        <f t="shared" si="2"/>
        <v>32194855.32</v>
      </c>
      <c r="FB25" s="26">
        <f t="shared" si="2"/>
        <v>10665787.71</v>
      </c>
      <c r="FC25" s="26">
        <f t="shared" si="2"/>
        <v>11402914.5</v>
      </c>
      <c r="FD25" s="26">
        <f t="shared" si="2"/>
        <v>6946985.51</v>
      </c>
      <c r="FE25" s="26">
        <f t="shared" si="2"/>
        <v>21295086.68</v>
      </c>
      <c r="FF25" s="26">
        <f t="shared" si="2"/>
        <v>16512503.57</v>
      </c>
      <c r="FG25" s="26">
        <f t="shared" si="2"/>
        <v>6321106.13</v>
      </c>
      <c r="FH25" s="26">
        <f t="shared" si="2"/>
        <v>25235877.93</v>
      </c>
      <c r="FI25" s="26">
        <f t="shared" si="2"/>
        <v>18988504.27</v>
      </c>
      <c r="FJ25" s="26">
        <f t="shared" si="2"/>
        <v>26944522.92</v>
      </c>
      <c r="FK25" s="26">
        <f t="shared" si="2"/>
        <v>13199607.45</v>
      </c>
      <c r="FL25" s="26">
        <f t="shared" si="2"/>
        <v>16865193.85</v>
      </c>
      <c r="FM25" s="26">
        <f t="shared" si="2"/>
        <v>26313622.49</v>
      </c>
      <c r="FN25" s="26">
        <f t="shared" si="2"/>
        <v>13754796.31</v>
      </c>
      <c r="FO25" s="26">
        <f t="shared" si="2"/>
        <v>17152757.08</v>
      </c>
      <c r="FP25" s="26">
        <f t="shared" si="2"/>
        <v>16722881.9</v>
      </c>
      <c r="FQ25" s="26">
        <f t="shared" si="2"/>
        <v>25934023.78</v>
      </c>
      <c r="FR25" s="26">
        <f t="shared" si="2"/>
        <v>12739869.85</v>
      </c>
      <c r="FS25" s="26">
        <f t="shared" si="2"/>
        <v>17067648.45</v>
      </c>
      <c r="FT25" s="26">
        <f t="shared" si="2"/>
        <v>27853340.3</v>
      </c>
      <c r="FU25" s="26">
        <f t="shared" si="2"/>
        <v>18267657.41</v>
      </c>
      <c r="FV25" s="26">
        <f t="shared" si="2"/>
        <v>17826420.73</v>
      </c>
      <c r="FW25" s="26">
        <f t="shared" si="2"/>
        <v>21165800.14</v>
      </c>
      <c r="FX25" s="26">
        <f t="shared" si="2"/>
        <v>21522771.14</v>
      </c>
      <c r="FY25" s="26">
        <f t="shared" si="2"/>
        <v>22130911.92</v>
      </c>
      <c r="FZ25" s="26">
        <f t="shared" si="2"/>
        <v>11514821.61</v>
      </c>
      <c r="GA25" s="26">
        <f t="shared" si="2"/>
        <v>20467515.02</v>
      </c>
      <c r="GB25" s="26">
        <f t="shared" si="2"/>
        <v>17109634.69</v>
      </c>
      <c r="GC25" s="26">
        <f t="shared" si="2"/>
        <v>27139720.82</v>
      </c>
      <c r="GD25" s="26">
        <f t="shared" si="2"/>
        <v>11181277.29</v>
      </c>
      <c r="GE25" s="26">
        <f t="shared" si="2"/>
        <v>22678199.04</v>
      </c>
      <c r="GF25" s="26">
        <f t="shared" si="2"/>
        <v>13945662.18</v>
      </c>
      <c r="GG25" s="26">
        <f t="shared" si="2"/>
        <v>21440242.67</v>
      </c>
      <c r="GH25" s="26">
        <f t="shared" si="2"/>
        <v>25702710.97</v>
      </c>
      <c r="GI25" s="26">
        <f t="shared" si="2"/>
        <v>22007518.7</v>
      </c>
      <c r="GJ25" s="26">
        <f t="shared" si="2"/>
        <v>18831495.67</v>
      </c>
      <c r="GK25" s="26">
        <f t="shared" si="2"/>
        <v>8832386.12</v>
      </c>
      <c r="GL25" s="26">
        <f t="shared" si="2"/>
        <v>25344054.07</v>
      </c>
      <c r="GM25" s="26">
        <f t="shared" si="2"/>
        <v>22833382.47</v>
      </c>
      <c r="GN25" s="26">
        <f t="shared" si="2"/>
        <v>25122438.85</v>
      </c>
      <c r="GO25" s="26">
        <f t="shared" si="2"/>
        <v>15122603.63</v>
      </c>
      <c r="GP25" s="26">
        <f t="shared" si="2"/>
        <v>24897290.57</v>
      </c>
      <c r="GQ25" s="26">
        <f t="shared" si="2"/>
        <v>18275478.52</v>
      </c>
      <c r="GR25" s="26">
        <f t="shared" si="2"/>
        <v>20528676.54</v>
      </c>
      <c r="GS25" s="26">
        <f t="shared" si="2"/>
        <v>28392520.44</v>
      </c>
      <c r="GT25" s="26">
        <f t="shared" si="2"/>
        <v>22226018.67</v>
      </c>
      <c r="GU25" s="26">
        <f t="shared" si="2"/>
        <v>13250550.95</v>
      </c>
      <c r="GV25" s="26">
        <f t="shared" si="2"/>
        <v>18329471.3</v>
      </c>
      <c r="GW25" s="26">
        <f t="shared" si="2"/>
        <v>27330923.87</v>
      </c>
      <c r="GX25" s="26">
        <f t="shared" si="2"/>
        <v>9673525.61</v>
      </c>
      <c r="GY25" s="26">
        <f t="shared" si="2"/>
        <v>21421126.03</v>
      </c>
      <c r="GZ25" s="26">
        <f t="shared" si="2"/>
        <v>26739686.07</v>
      </c>
      <c r="HA25" s="26">
        <f t="shared" si="2"/>
        <v>18817597.99</v>
      </c>
      <c r="HB25" s="26">
        <f t="shared" si="2"/>
        <v>28158414.9</v>
      </c>
      <c r="HC25" s="26">
        <f t="shared" si="2"/>
        <v>17481485.59</v>
      </c>
      <c r="HD25" s="26">
        <f t="shared" si="2"/>
        <v>14846401.9</v>
      </c>
      <c r="HE25" s="26">
        <f t="shared" si="2"/>
        <v>15148801.05</v>
      </c>
      <c r="HF25" s="26">
        <f t="shared" si="2"/>
        <v>17297854.43</v>
      </c>
      <c r="HG25" s="26">
        <f t="shared" si="2"/>
        <v>13262432.88</v>
      </c>
      <c r="HH25" s="26">
        <f t="shared" si="2"/>
        <v>22031619.74</v>
      </c>
      <c r="HI25" s="26">
        <f t="shared" si="2"/>
        <v>21708073.54</v>
      </c>
      <c r="HJ25" s="26">
        <f t="shared" si="2"/>
        <v>21580458.24</v>
      </c>
      <c r="HK25" s="26">
        <f t="shared" si="2"/>
        <v>23309004.18</v>
      </c>
      <c r="HL25" s="26">
        <f t="shared" si="2"/>
        <v>20407321.06</v>
      </c>
      <c r="HM25" s="26">
        <f t="shared" si="2"/>
        <v>16822987.71</v>
      </c>
      <c r="HN25" s="26">
        <f t="shared" si="2"/>
        <v>21322039.09</v>
      </c>
      <c r="HO25" s="26">
        <f t="shared" si="2"/>
        <v>18638489.44</v>
      </c>
      <c r="HP25" s="26">
        <f t="shared" si="2"/>
        <v>16196375.33</v>
      </c>
      <c r="HQ25" s="26">
        <f t="shared" si="2"/>
        <v>20988186.91</v>
      </c>
      <c r="HR25" s="26">
        <f t="shared" si="2"/>
        <v>19974440.58</v>
      </c>
      <c r="HS25" s="26">
        <f t="shared" si="2"/>
        <v>38938074.16</v>
      </c>
      <c r="HT25" s="26">
        <f t="shared" si="2"/>
        <v>11269750.39</v>
      </c>
      <c r="HU25" s="26">
        <f t="shared" si="2"/>
        <v>10649603.07</v>
      </c>
      <c r="HV25" s="26">
        <f t="shared" si="2"/>
        <v>27849865.88</v>
      </c>
      <c r="HW25" s="26">
        <f t="shared" si="2"/>
        <v>20579715.33</v>
      </c>
      <c r="HX25" s="26">
        <f t="shared" si="2"/>
        <v>18054325.09</v>
      </c>
      <c r="HY25" s="26">
        <f t="shared" si="2"/>
        <v>12253377.75</v>
      </c>
      <c r="HZ25" s="26">
        <f t="shared" si="2"/>
        <v>27567199.09</v>
      </c>
      <c r="IA25" s="26">
        <f t="shared" si="2"/>
        <v>21344608.16</v>
      </c>
      <c r="IB25" s="26">
        <f t="shared" si="2"/>
        <v>27384498.84</v>
      </c>
      <c r="IC25" s="26">
        <f t="shared" si="2"/>
        <v>13475655.25</v>
      </c>
      <c r="ID25" s="26">
        <f t="shared" si="2"/>
        <v>27046343.95</v>
      </c>
      <c r="IE25" s="26">
        <f t="shared" si="2"/>
        <v>23187787.97</v>
      </c>
      <c r="IF25" s="26">
        <f t="shared" si="2"/>
        <v>18412175.69</v>
      </c>
      <c r="IG25" s="26">
        <f t="shared" si="2"/>
        <v>10683086.51</v>
      </c>
      <c r="IH25" s="26">
        <f t="shared" si="2"/>
        <v>21052141.16</v>
      </c>
      <c r="II25" s="26">
        <f t="shared" si="2"/>
        <v>28911161.92</v>
      </c>
      <c r="IJ25" s="26">
        <f t="shared" si="2"/>
        <v>17933284.8</v>
      </c>
      <c r="IK25" s="26">
        <f t="shared" si="2"/>
        <v>11582902.65</v>
      </c>
      <c r="IL25" s="26">
        <f t="shared" si="2"/>
        <v>19997009.65</v>
      </c>
      <c r="IM25" s="26">
        <f t="shared" si="2"/>
        <v>19411789.78</v>
      </c>
      <c r="IN25" s="26">
        <f t="shared" si="2"/>
        <v>26598891.43</v>
      </c>
      <c r="IO25" s="26">
        <f t="shared" si="2"/>
        <v>15933609.49</v>
      </c>
      <c r="IP25" s="26">
        <f t="shared" si="2"/>
        <v>28734494.26</v>
      </c>
      <c r="IQ25" s="26">
        <f t="shared" si="2"/>
        <v>19284467.68</v>
      </c>
      <c r="IR25" s="26">
        <f t="shared" si="2"/>
        <v>19056035.56</v>
      </c>
      <c r="IS25" s="26">
        <f t="shared" si="2"/>
        <v>20531733.15</v>
      </c>
      <c r="IT25" s="26">
        <f t="shared" si="2"/>
        <v>13557370.09</v>
      </c>
      <c r="IU25" s="26">
        <f t="shared" si="2"/>
        <v>19941286.99</v>
      </c>
      <c r="IV25" s="26">
        <f t="shared" si="2"/>
        <v>17853512.41</v>
      </c>
      <c r="IW25" s="26">
        <f t="shared" si="2"/>
        <v>25155174.63</v>
      </c>
      <c r="IX25" s="26">
        <f t="shared" si="2"/>
        <v>19678909.64</v>
      </c>
      <c r="IY25" s="26">
        <f t="shared" si="2"/>
        <v>19372149.14</v>
      </c>
      <c r="IZ25" s="26">
        <f t="shared" si="2"/>
        <v>22699529.34</v>
      </c>
      <c r="JA25" s="26">
        <f t="shared" si="2"/>
        <v>17778321.27</v>
      </c>
      <c r="JB25" s="26">
        <f t="shared" si="2"/>
        <v>12285182.62</v>
      </c>
      <c r="JC25" s="26">
        <f t="shared" si="2"/>
        <v>21751335.2</v>
      </c>
      <c r="JD25" s="26">
        <f t="shared" si="2"/>
        <v>22830743.67</v>
      </c>
      <c r="JE25" s="26">
        <f t="shared" si="2"/>
        <v>20750167.15</v>
      </c>
      <c r="JF25" s="26">
        <f t="shared" si="2"/>
        <v>22181650.18</v>
      </c>
      <c r="JG25" s="26">
        <f t="shared" si="2"/>
        <v>21448547.56</v>
      </c>
      <c r="JH25" s="26">
        <f t="shared" si="2"/>
        <v>24010433.87</v>
      </c>
      <c r="JI25" s="26">
        <f t="shared" si="2"/>
        <v>18317545.39</v>
      </c>
      <c r="JJ25" s="26">
        <f t="shared" si="2"/>
        <v>19125736.53</v>
      </c>
      <c r="JK25" s="26">
        <f t="shared" si="2"/>
        <v>25763381.38</v>
      </c>
      <c r="JL25" s="26">
        <f t="shared" si="2"/>
        <v>23709449.41</v>
      </c>
      <c r="JM25" s="26">
        <f t="shared" si="2"/>
        <v>21040178.6</v>
      </c>
      <c r="JN25" s="26">
        <f t="shared" si="2"/>
        <v>15558987.85</v>
      </c>
      <c r="JO25" s="26">
        <f t="shared" si="2"/>
        <v>19266853.69</v>
      </c>
      <c r="JP25" s="26">
        <f t="shared" si="2"/>
        <v>25742989.32</v>
      </c>
      <c r="JQ25" s="26">
        <f t="shared" si="2"/>
        <v>15293891.07</v>
      </c>
      <c r="JR25" s="26">
        <f t="shared" si="2"/>
        <v>21330959.7</v>
      </c>
      <c r="JS25" s="26">
        <f t="shared" si="2"/>
        <v>19818626.77</v>
      </c>
      <c r="JT25" s="26">
        <f t="shared" si="2"/>
        <v>23177218.11</v>
      </c>
      <c r="JU25" s="26">
        <f t="shared" si="2"/>
        <v>21565439.07</v>
      </c>
      <c r="JV25" s="26">
        <f t="shared" si="2"/>
        <v>17505799.2</v>
      </c>
      <c r="JW25" s="26">
        <f t="shared" si="2"/>
        <v>30682998.84</v>
      </c>
      <c r="JX25" s="26">
        <f t="shared" si="2"/>
        <v>13631593.67</v>
      </c>
      <c r="JY25" s="26">
        <f t="shared" si="2"/>
        <v>24189014.66</v>
      </c>
      <c r="JZ25" s="26">
        <f t="shared" si="2"/>
        <v>8834775.7</v>
      </c>
      <c r="KA25" s="26">
        <f t="shared" si="2"/>
        <v>29390675.86</v>
      </c>
      <c r="KB25" s="26">
        <f t="shared" si="2"/>
        <v>23402542.31</v>
      </c>
      <c r="KC25" s="26">
        <f t="shared" si="2"/>
        <v>17883521.43</v>
      </c>
      <c r="KD25" s="26">
        <f t="shared" si="2"/>
        <v>17277279.12</v>
      </c>
      <c r="KE25" s="26">
        <f t="shared" si="2"/>
        <v>17992650.47</v>
      </c>
      <c r="KF25" s="26">
        <f t="shared" si="2"/>
        <v>20421057.48</v>
      </c>
      <c r="KG25" s="26">
        <f t="shared" si="2"/>
        <v>19594827.21</v>
      </c>
      <c r="KH25" s="26">
        <f t="shared" si="2"/>
        <v>29123548.67</v>
      </c>
      <c r="KI25" s="26">
        <f t="shared" si="2"/>
        <v>30190144.3</v>
      </c>
      <c r="KJ25" s="26">
        <f t="shared" si="2"/>
        <v>15520776.56</v>
      </c>
      <c r="KK25" s="26">
        <f t="shared" si="2"/>
        <v>23686257.29</v>
      </c>
      <c r="KL25" s="26">
        <f t="shared" si="2"/>
        <v>14020428.18</v>
      </c>
      <c r="KM25" s="26">
        <f t="shared" si="2"/>
        <v>20471509.87</v>
      </c>
      <c r="KN25" s="26">
        <f t="shared" si="2"/>
        <v>23822551.31</v>
      </c>
      <c r="KO25" s="26">
        <f t="shared" si="2"/>
        <v>18431548.88</v>
      </c>
      <c r="KP25" s="26">
        <f t="shared" si="2"/>
        <v>18804118.12</v>
      </c>
      <c r="KQ25" s="26">
        <f t="shared" si="2"/>
        <v>22129145.39</v>
      </c>
      <c r="KR25" s="26">
        <f t="shared" si="2"/>
        <v>15195507.81</v>
      </c>
      <c r="KS25" s="26">
        <f t="shared" si="2"/>
        <v>13381589.36</v>
      </c>
      <c r="KT25" s="26">
        <f t="shared" si="2"/>
        <v>21463911.24</v>
      </c>
      <c r="KU25" s="26">
        <f t="shared" si="2"/>
        <v>25848988.45</v>
      </c>
      <c r="KV25" s="26">
        <f t="shared" si="2"/>
        <v>21883421.8</v>
      </c>
      <c r="KW25" s="26">
        <f t="shared" si="2"/>
        <v>12311834.5</v>
      </c>
      <c r="KX25" s="26">
        <f t="shared" si="2"/>
        <v>19996562.52</v>
      </c>
      <c r="KY25" s="26">
        <f t="shared" si="2"/>
        <v>18458413.33</v>
      </c>
      <c r="KZ25" s="26">
        <f t="shared" si="2"/>
        <v>25044205.76</v>
      </c>
      <c r="LA25" s="26">
        <f t="shared" si="2"/>
        <v>24031448.98</v>
      </c>
      <c r="LB25" s="26">
        <f t="shared" si="2"/>
        <v>11626362.22</v>
      </c>
      <c r="LC25" s="26">
        <f t="shared" si="2"/>
        <v>18739401.55</v>
      </c>
      <c r="LD25" s="26">
        <f t="shared" si="2"/>
        <v>26265105.22</v>
      </c>
      <c r="LE25" s="26">
        <f t="shared" si="2"/>
        <v>21165030.49</v>
      </c>
      <c r="LF25" s="26">
        <f t="shared" si="2"/>
        <v>16509710.84</v>
      </c>
      <c r="LG25" s="26">
        <f t="shared" si="2"/>
        <v>23096478.16</v>
      </c>
      <c r="LH25" s="26">
        <f t="shared" si="2"/>
        <v>9917416.7</v>
      </c>
      <c r="LI25" s="26">
        <f t="shared" si="2"/>
        <v>29262672.07</v>
      </c>
      <c r="LJ25" s="26">
        <f t="shared" si="2"/>
        <v>31207819.51</v>
      </c>
      <c r="LK25" s="26">
        <f t="shared" si="2"/>
        <v>17251814.7</v>
      </c>
      <c r="LL25" s="26">
        <f t="shared" si="2"/>
        <v>33634892.46</v>
      </c>
      <c r="LM25" s="26">
        <f t="shared" si="2"/>
        <v>12609711.04</v>
      </c>
      <c r="LN25" s="26">
        <f t="shared" si="2"/>
        <v>14061850.01</v>
      </c>
      <c r="LO25" s="26">
        <f t="shared" si="2"/>
        <v>13841583.51</v>
      </c>
      <c r="LP25" s="26">
        <f t="shared" si="2"/>
        <v>20672601.09</v>
      </c>
      <c r="LQ25" s="26">
        <f t="shared" si="2"/>
        <v>27486869.62</v>
      </c>
      <c r="LR25" s="26">
        <f t="shared" si="2"/>
        <v>20099834.89</v>
      </c>
      <c r="LS25" s="26">
        <f t="shared" si="2"/>
        <v>17710386.83</v>
      </c>
      <c r="LT25" s="26">
        <f t="shared" si="2"/>
        <v>13217536.63</v>
      </c>
      <c r="LU25" s="26">
        <f t="shared" si="2"/>
        <v>21877836.34</v>
      </c>
      <c r="LV25" s="26">
        <f t="shared" si="2"/>
        <v>17744178.13</v>
      </c>
      <c r="LW25" s="26">
        <f t="shared" si="2"/>
        <v>24751900.02</v>
      </c>
      <c r="LX25" s="26">
        <f t="shared" si="2"/>
        <v>11563170.29</v>
      </c>
      <c r="LY25" s="26">
        <f t="shared" si="2"/>
        <v>24795550.17</v>
      </c>
      <c r="LZ25" s="26">
        <f t="shared" si="2"/>
        <v>22884839.07</v>
      </c>
      <c r="MA25" s="26">
        <f t="shared" si="2"/>
        <v>16214011.31</v>
      </c>
      <c r="MB25" s="26">
        <f t="shared" si="2"/>
        <v>10907465.14</v>
      </c>
      <c r="MC25" s="26">
        <f t="shared" si="2"/>
        <v>17799871.47</v>
      </c>
      <c r="MD25" s="26">
        <f t="shared" si="2"/>
        <v>11064400.44</v>
      </c>
      <c r="ME25" s="26">
        <f t="shared" si="2"/>
        <v>16134473.48</v>
      </c>
      <c r="MF25" s="26">
        <f t="shared" si="2"/>
        <v>23701401.07</v>
      </c>
      <c r="MG25" s="26">
        <f t="shared" si="2"/>
        <v>21191477.13</v>
      </c>
      <c r="MH25" s="26">
        <f t="shared" si="2"/>
        <v>17628129.57</v>
      </c>
      <c r="MI25" s="26">
        <f t="shared" si="2"/>
        <v>20831559.47</v>
      </c>
      <c r="MJ25" s="26">
        <f t="shared" si="2"/>
        <v>25404973.7</v>
      </c>
      <c r="MK25" s="26">
        <f t="shared" si="2"/>
        <v>17297597.88</v>
      </c>
      <c r="ML25" s="26">
        <f t="shared" si="2"/>
        <v>17894743.66</v>
      </c>
      <c r="MM25" s="26">
        <f t="shared" si="2"/>
        <v>19656509.16</v>
      </c>
      <c r="MN25" s="26">
        <f t="shared" si="2"/>
        <v>18700611.19</v>
      </c>
      <c r="MO25" s="26">
        <f t="shared" si="2"/>
        <v>25189955.48</v>
      </c>
      <c r="MP25" s="26">
        <f t="shared" si="2"/>
        <v>20046377.2</v>
      </c>
      <c r="MQ25" s="26">
        <f t="shared" si="2"/>
        <v>25716777.24</v>
      </c>
      <c r="MR25" s="26">
        <f t="shared" si="2"/>
        <v>26183852.17</v>
      </c>
      <c r="MS25" s="26">
        <f t="shared" si="2"/>
        <v>19747921.59</v>
      </c>
      <c r="MT25" s="26">
        <f t="shared" si="2"/>
        <v>20593620.34</v>
      </c>
      <c r="MU25" s="26">
        <f t="shared" si="2"/>
        <v>22548516.68</v>
      </c>
      <c r="MV25" s="26">
        <f t="shared" si="2"/>
        <v>22725338.27</v>
      </c>
      <c r="MW25" s="26">
        <f t="shared" si="2"/>
        <v>17867754.6</v>
      </c>
      <c r="MX25" s="26">
        <f t="shared" si="2"/>
        <v>18687277.92</v>
      </c>
      <c r="MY25" s="26">
        <f t="shared" si="2"/>
        <v>12423792.92</v>
      </c>
      <c r="MZ25" s="26">
        <f t="shared" si="2"/>
        <v>13221487.5</v>
      </c>
      <c r="NA25" s="26">
        <f t="shared" si="2"/>
        <v>25136197.26</v>
      </c>
      <c r="NB25" s="26">
        <f t="shared" si="2"/>
        <v>16296935.6</v>
      </c>
    </row>
    <row r="26" ht="15.75" customHeight="1">
      <c r="B26" s="27" t="str">
        <f>B9</f>
        <v>LNG Tanker</v>
      </c>
      <c r="C26" s="28">
        <f t="shared" ref="C26:NB26" si="3">C11*$C$18</f>
        <v>0</v>
      </c>
      <c r="D26" s="28">
        <f t="shared" si="3"/>
        <v>0</v>
      </c>
      <c r="E26" s="28">
        <f t="shared" si="3"/>
        <v>0</v>
      </c>
      <c r="F26" s="28">
        <f t="shared" si="3"/>
        <v>0</v>
      </c>
      <c r="G26" s="28">
        <f t="shared" si="3"/>
        <v>0</v>
      </c>
      <c r="H26" s="28">
        <f t="shared" si="3"/>
        <v>0</v>
      </c>
      <c r="I26" s="28">
        <f t="shared" si="3"/>
        <v>0</v>
      </c>
      <c r="J26" s="28">
        <f t="shared" si="3"/>
        <v>0</v>
      </c>
      <c r="K26" s="28">
        <f t="shared" si="3"/>
        <v>0</v>
      </c>
      <c r="L26" s="28">
        <f t="shared" si="3"/>
        <v>0</v>
      </c>
      <c r="M26" s="28">
        <f t="shared" si="3"/>
        <v>0</v>
      </c>
      <c r="N26" s="28">
        <f t="shared" si="3"/>
        <v>0</v>
      </c>
      <c r="O26" s="28">
        <f t="shared" si="3"/>
        <v>0</v>
      </c>
      <c r="P26" s="28">
        <f t="shared" si="3"/>
        <v>0</v>
      </c>
      <c r="Q26" s="28">
        <f t="shared" si="3"/>
        <v>744373.035</v>
      </c>
      <c r="R26" s="28">
        <f t="shared" si="3"/>
        <v>0</v>
      </c>
      <c r="S26" s="28">
        <f t="shared" si="3"/>
        <v>857331.153</v>
      </c>
      <c r="T26" s="28">
        <f t="shared" si="3"/>
        <v>0</v>
      </c>
      <c r="U26" s="28">
        <f t="shared" si="3"/>
        <v>0</v>
      </c>
      <c r="V26" s="28">
        <f t="shared" si="3"/>
        <v>0</v>
      </c>
      <c r="W26" s="28">
        <f t="shared" si="3"/>
        <v>0</v>
      </c>
      <c r="X26" s="28">
        <f t="shared" si="3"/>
        <v>0</v>
      </c>
      <c r="Y26" s="28">
        <f t="shared" si="3"/>
        <v>0</v>
      </c>
      <c r="Z26" s="28">
        <f t="shared" si="3"/>
        <v>0</v>
      </c>
      <c r="AA26" s="28">
        <f t="shared" si="3"/>
        <v>0</v>
      </c>
      <c r="AB26" s="28">
        <f t="shared" si="3"/>
        <v>0</v>
      </c>
      <c r="AC26" s="28">
        <f t="shared" si="3"/>
        <v>0</v>
      </c>
      <c r="AD26" s="28">
        <f t="shared" si="3"/>
        <v>0</v>
      </c>
      <c r="AE26" s="28">
        <f t="shared" si="3"/>
        <v>0</v>
      </c>
      <c r="AF26" s="28">
        <f t="shared" si="3"/>
        <v>0</v>
      </c>
      <c r="AG26" s="28">
        <f t="shared" si="3"/>
        <v>583672.95</v>
      </c>
      <c r="AH26" s="28">
        <f t="shared" si="3"/>
        <v>0</v>
      </c>
      <c r="AI26" s="28">
        <f t="shared" si="3"/>
        <v>0</v>
      </c>
      <c r="AJ26" s="28">
        <f t="shared" si="3"/>
        <v>0</v>
      </c>
      <c r="AK26" s="28">
        <f t="shared" si="3"/>
        <v>0</v>
      </c>
      <c r="AL26" s="28">
        <f t="shared" si="3"/>
        <v>0</v>
      </c>
      <c r="AM26" s="28">
        <f t="shared" si="3"/>
        <v>0</v>
      </c>
      <c r="AN26" s="28">
        <f t="shared" si="3"/>
        <v>0</v>
      </c>
      <c r="AO26" s="28">
        <f t="shared" si="3"/>
        <v>0</v>
      </c>
      <c r="AP26" s="28">
        <f t="shared" si="3"/>
        <v>0</v>
      </c>
      <c r="AQ26" s="28">
        <f t="shared" si="3"/>
        <v>0</v>
      </c>
      <c r="AR26" s="28">
        <f t="shared" si="3"/>
        <v>0</v>
      </c>
      <c r="AS26" s="28">
        <f t="shared" si="3"/>
        <v>0</v>
      </c>
      <c r="AT26" s="28">
        <f t="shared" si="3"/>
        <v>0</v>
      </c>
      <c r="AU26" s="28">
        <f t="shared" si="3"/>
        <v>0</v>
      </c>
      <c r="AV26" s="28">
        <f t="shared" si="3"/>
        <v>0</v>
      </c>
      <c r="AW26" s="28">
        <f t="shared" si="3"/>
        <v>0</v>
      </c>
      <c r="AX26" s="28">
        <f t="shared" si="3"/>
        <v>0</v>
      </c>
      <c r="AY26" s="28">
        <f t="shared" si="3"/>
        <v>0</v>
      </c>
      <c r="AZ26" s="28">
        <f t="shared" si="3"/>
        <v>0</v>
      </c>
      <c r="BA26" s="28">
        <f t="shared" si="3"/>
        <v>0</v>
      </c>
      <c r="BB26" s="28">
        <f t="shared" si="3"/>
        <v>0</v>
      </c>
      <c r="BC26" s="28">
        <f t="shared" si="3"/>
        <v>0</v>
      </c>
      <c r="BD26" s="28">
        <f t="shared" si="3"/>
        <v>0</v>
      </c>
      <c r="BE26" s="28">
        <f t="shared" si="3"/>
        <v>576047.997</v>
      </c>
      <c r="BF26" s="28">
        <f t="shared" si="3"/>
        <v>0</v>
      </c>
      <c r="BG26" s="28">
        <f t="shared" si="3"/>
        <v>0</v>
      </c>
      <c r="BH26" s="28">
        <f t="shared" si="3"/>
        <v>0</v>
      </c>
      <c r="BI26" s="28">
        <f t="shared" si="3"/>
        <v>0</v>
      </c>
      <c r="BJ26" s="28">
        <f t="shared" si="3"/>
        <v>0</v>
      </c>
      <c r="BK26" s="28">
        <f t="shared" si="3"/>
        <v>0</v>
      </c>
      <c r="BL26" s="28">
        <f t="shared" si="3"/>
        <v>0</v>
      </c>
      <c r="BM26" s="28">
        <f t="shared" si="3"/>
        <v>0</v>
      </c>
      <c r="BN26" s="28">
        <f t="shared" si="3"/>
        <v>0</v>
      </c>
      <c r="BO26" s="28">
        <f t="shared" si="3"/>
        <v>0</v>
      </c>
      <c r="BP26" s="28">
        <f t="shared" si="3"/>
        <v>0</v>
      </c>
      <c r="BQ26" s="28">
        <f t="shared" si="3"/>
        <v>0</v>
      </c>
      <c r="BR26" s="28">
        <f t="shared" si="3"/>
        <v>0</v>
      </c>
      <c r="BS26" s="28">
        <f t="shared" si="3"/>
        <v>0</v>
      </c>
      <c r="BT26" s="28">
        <f t="shared" si="3"/>
        <v>0</v>
      </c>
      <c r="BU26" s="28">
        <f t="shared" si="3"/>
        <v>0</v>
      </c>
      <c r="BV26" s="28">
        <f t="shared" si="3"/>
        <v>0</v>
      </c>
      <c r="BW26" s="28">
        <f t="shared" si="3"/>
        <v>0</v>
      </c>
      <c r="BX26" s="28">
        <f t="shared" si="3"/>
        <v>0</v>
      </c>
      <c r="BY26" s="28">
        <f t="shared" si="3"/>
        <v>0</v>
      </c>
      <c r="BZ26" s="28">
        <f t="shared" si="3"/>
        <v>0</v>
      </c>
      <c r="CA26" s="28">
        <f t="shared" si="3"/>
        <v>0</v>
      </c>
      <c r="CB26" s="28">
        <f t="shared" si="3"/>
        <v>0</v>
      </c>
      <c r="CC26" s="28">
        <f t="shared" si="3"/>
        <v>0</v>
      </c>
      <c r="CD26" s="28">
        <f t="shared" si="3"/>
        <v>0</v>
      </c>
      <c r="CE26" s="28">
        <f t="shared" si="3"/>
        <v>0</v>
      </c>
      <c r="CF26" s="28">
        <f t="shared" si="3"/>
        <v>0</v>
      </c>
      <c r="CG26" s="28">
        <f t="shared" si="3"/>
        <v>0</v>
      </c>
      <c r="CH26" s="28">
        <f t="shared" si="3"/>
        <v>0</v>
      </c>
      <c r="CI26" s="28">
        <f t="shared" si="3"/>
        <v>0</v>
      </c>
      <c r="CJ26" s="28">
        <f t="shared" si="3"/>
        <v>0</v>
      </c>
      <c r="CK26" s="28">
        <f t="shared" si="3"/>
        <v>0</v>
      </c>
      <c r="CL26" s="28">
        <f t="shared" si="3"/>
        <v>656914.104</v>
      </c>
      <c r="CM26" s="28">
        <f t="shared" si="3"/>
        <v>1785823.2</v>
      </c>
      <c r="CN26" s="28">
        <f t="shared" si="3"/>
        <v>2752400.007</v>
      </c>
      <c r="CO26" s="28">
        <f t="shared" si="3"/>
        <v>2872342.998</v>
      </c>
      <c r="CP26" s="28">
        <f t="shared" si="3"/>
        <v>2975019.831</v>
      </c>
      <c r="CQ26" s="28">
        <f t="shared" si="3"/>
        <v>1918647.801</v>
      </c>
      <c r="CR26" s="28">
        <f t="shared" si="3"/>
        <v>2307200.364</v>
      </c>
      <c r="CS26" s="28">
        <f t="shared" si="3"/>
        <v>2374352.757</v>
      </c>
      <c r="CT26" s="28">
        <f t="shared" si="3"/>
        <v>3005823.681</v>
      </c>
      <c r="CU26" s="28">
        <f t="shared" si="3"/>
        <v>2885120.595</v>
      </c>
      <c r="CV26" s="28">
        <f t="shared" si="3"/>
        <v>2918772.801</v>
      </c>
      <c r="CW26" s="28">
        <f t="shared" si="3"/>
        <v>754702.326</v>
      </c>
      <c r="CX26" s="28">
        <f t="shared" si="3"/>
        <v>3492444.501</v>
      </c>
      <c r="CY26" s="28">
        <f t="shared" si="3"/>
        <v>2300575.536</v>
      </c>
      <c r="CZ26" s="28">
        <f t="shared" si="3"/>
        <v>3120021.954</v>
      </c>
      <c r="DA26" s="28">
        <f t="shared" si="3"/>
        <v>1499787.45</v>
      </c>
      <c r="DB26" s="28">
        <f t="shared" si="3"/>
        <v>2424951.081</v>
      </c>
      <c r="DC26" s="28">
        <f t="shared" si="3"/>
        <v>2407868.946</v>
      </c>
      <c r="DD26" s="28">
        <f t="shared" si="3"/>
        <v>2861085.591</v>
      </c>
      <c r="DE26" s="28">
        <f t="shared" si="3"/>
        <v>2139451.398</v>
      </c>
      <c r="DF26" s="28">
        <f t="shared" si="3"/>
        <v>2188833.57</v>
      </c>
      <c r="DG26" s="28">
        <f t="shared" si="3"/>
        <v>1922336.262</v>
      </c>
      <c r="DH26" s="28">
        <f t="shared" si="3"/>
        <v>2508713.55</v>
      </c>
      <c r="DI26" s="28">
        <f t="shared" si="3"/>
        <v>3488468.004</v>
      </c>
      <c r="DJ26" s="28">
        <f t="shared" si="3"/>
        <v>1410248.259</v>
      </c>
      <c r="DK26" s="28">
        <f t="shared" si="3"/>
        <v>3827822.418</v>
      </c>
      <c r="DL26" s="28">
        <f t="shared" si="3"/>
        <v>1632107.988</v>
      </c>
      <c r="DM26" s="28">
        <f t="shared" si="3"/>
        <v>2435928.453</v>
      </c>
      <c r="DN26" s="28">
        <f t="shared" si="3"/>
        <v>1392654.06</v>
      </c>
      <c r="DO26" s="28">
        <f t="shared" si="3"/>
        <v>3031570.899</v>
      </c>
      <c r="DP26" s="28">
        <f t="shared" si="3"/>
        <v>2015203.869</v>
      </c>
      <c r="DQ26" s="28">
        <f t="shared" si="3"/>
        <v>2548750.554</v>
      </c>
      <c r="DR26" s="28">
        <f t="shared" si="3"/>
        <v>1891700.433</v>
      </c>
      <c r="DS26" s="28">
        <f t="shared" si="3"/>
        <v>2681367.129</v>
      </c>
      <c r="DT26" s="28">
        <f t="shared" si="3"/>
        <v>3014920.818</v>
      </c>
      <c r="DU26" s="28">
        <f t="shared" si="3"/>
        <v>1419593.427</v>
      </c>
      <c r="DV26" s="28">
        <f t="shared" si="3"/>
        <v>876133.503</v>
      </c>
      <c r="DW26" s="28">
        <f t="shared" si="3"/>
        <v>3084313.491</v>
      </c>
      <c r="DX26" s="28">
        <f t="shared" si="3"/>
        <v>3095082.837</v>
      </c>
      <c r="DY26" s="28">
        <f t="shared" si="3"/>
        <v>2622919.824</v>
      </c>
      <c r="DZ26" s="28">
        <f t="shared" si="3"/>
        <v>1416016.98</v>
      </c>
      <c r="EA26" s="28">
        <f t="shared" si="3"/>
        <v>2356014.465</v>
      </c>
      <c r="EB26" s="28">
        <f t="shared" si="3"/>
        <v>3575030.823</v>
      </c>
      <c r="EC26" s="28">
        <f t="shared" si="3"/>
        <v>1719462.906</v>
      </c>
      <c r="ED26" s="28">
        <f t="shared" si="3"/>
        <v>2335011.84</v>
      </c>
      <c r="EE26" s="28">
        <f t="shared" si="3"/>
        <v>3420315.486</v>
      </c>
      <c r="EF26" s="28">
        <f t="shared" si="3"/>
        <v>1999481.904</v>
      </c>
      <c r="EG26" s="28">
        <f t="shared" si="3"/>
        <v>3358763.793</v>
      </c>
      <c r="EH26" s="28">
        <f t="shared" si="3"/>
        <v>1900429.524</v>
      </c>
      <c r="EI26" s="28">
        <f t="shared" si="3"/>
        <v>2434392.261</v>
      </c>
      <c r="EJ26" s="28">
        <f t="shared" si="3"/>
        <v>4297585.131</v>
      </c>
      <c r="EK26" s="28">
        <f t="shared" si="3"/>
        <v>1323077.364</v>
      </c>
      <c r="EL26" s="28">
        <f t="shared" si="3"/>
        <v>2959393.878</v>
      </c>
      <c r="EM26" s="28">
        <f t="shared" si="3"/>
        <v>1336727.07</v>
      </c>
      <c r="EN26" s="28">
        <f t="shared" si="3"/>
        <v>2247008.841</v>
      </c>
      <c r="EO26" s="28">
        <f t="shared" si="3"/>
        <v>2038870.827</v>
      </c>
      <c r="EP26" s="28">
        <f t="shared" si="3"/>
        <v>2325002.589</v>
      </c>
      <c r="EQ26" s="28">
        <f t="shared" si="3"/>
        <v>3336745.041</v>
      </c>
      <c r="ER26" s="28">
        <f t="shared" si="3"/>
        <v>676516.554</v>
      </c>
      <c r="ES26" s="28">
        <f t="shared" si="3"/>
        <v>1399534.92</v>
      </c>
      <c r="ET26" s="28">
        <f t="shared" si="3"/>
        <v>1324781.577</v>
      </c>
      <c r="EU26" s="28">
        <f t="shared" si="3"/>
        <v>1327189.878</v>
      </c>
      <c r="EV26" s="28">
        <f t="shared" si="3"/>
        <v>2060873.577</v>
      </c>
      <c r="EW26" s="28">
        <f t="shared" si="3"/>
        <v>3123478.386</v>
      </c>
      <c r="EX26" s="28">
        <f t="shared" si="3"/>
        <v>975433.914</v>
      </c>
      <c r="EY26" s="28">
        <f t="shared" si="3"/>
        <v>1759051.854</v>
      </c>
      <c r="EZ26" s="28">
        <f t="shared" si="3"/>
        <v>2787940.449</v>
      </c>
      <c r="FA26" s="28">
        <f t="shared" si="3"/>
        <v>2580594.534</v>
      </c>
      <c r="FB26" s="28">
        <f t="shared" si="3"/>
        <v>1612577.547</v>
      </c>
      <c r="FC26" s="28">
        <f t="shared" si="3"/>
        <v>1786887.333</v>
      </c>
      <c r="FD26" s="28">
        <f t="shared" si="3"/>
        <v>2436208.488</v>
      </c>
      <c r="FE26" s="28">
        <f t="shared" si="3"/>
        <v>2309264.622</v>
      </c>
      <c r="FF26" s="28">
        <f t="shared" si="3"/>
        <v>1454029.731</v>
      </c>
      <c r="FG26" s="28">
        <f t="shared" si="3"/>
        <v>1996993.593</v>
      </c>
      <c r="FH26" s="28">
        <f t="shared" si="3"/>
        <v>1756219.5</v>
      </c>
      <c r="FI26" s="28">
        <f t="shared" si="3"/>
        <v>3011152.347</v>
      </c>
      <c r="FJ26" s="28">
        <f t="shared" si="3"/>
        <v>3751892.928</v>
      </c>
      <c r="FK26" s="28">
        <f t="shared" si="3"/>
        <v>725026.617</v>
      </c>
      <c r="FL26" s="28">
        <f t="shared" si="3"/>
        <v>3823389.864</v>
      </c>
      <c r="FM26" s="28">
        <f t="shared" si="3"/>
        <v>1795704.435</v>
      </c>
      <c r="FN26" s="28">
        <f t="shared" si="3"/>
        <v>4223343.852</v>
      </c>
      <c r="FO26" s="28">
        <f t="shared" si="3"/>
        <v>1475040.357</v>
      </c>
      <c r="FP26" s="28">
        <f t="shared" si="3"/>
        <v>627990.489</v>
      </c>
      <c r="FQ26" s="28">
        <f t="shared" si="3"/>
        <v>2891393.379</v>
      </c>
      <c r="FR26" s="28">
        <f t="shared" si="3"/>
        <v>754702.326</v>
      </c>
      <c r="FS26" s="28">
        <f t="shared" si="3"/>
        <v>2040695.055</v>
      </c>
      <c r="FT26" s="28">
        <f t="shared" si="3"/>
        <v>2251993.464</v>
      </c>
      <c r="FU26" s="28">
        <f t="shared" si="3"/>
        <v>745085.124</v>
      </c>
      <c r="FV26" s="28">
        <f t="shared" si="3"/>
        <v>3573302.607</v>
      </c>
      <c r="FW26" s="28">
        <f t="shared" si="3"/>
        <v>3728225.97</v>
      </c>
      <c r="FX26" s="28">
        <f t="shared" si="3"/>
        <v>1620986.598</v>
      </c>
      <c r="FY26" s="28">
        <f t="shared" si="3"/>
        <v>2490343.254</v>
      </c>
      <c r="FZ26" s="28">
        <f t="shared" si="3"/>
        <v>754702.326</v>
      </c>
      <c r="GA26" s="28">
        <f t="shared" si="3"/>
        <v>3224074.959</v>
      </c>
      <c r="GB26" s="28">
        <f t="shared" si="3"/>
        <v>2256482.025</v>
      </c>
      <c r="GC26" s="28">
        <f t="shared" si="3"/>
        <v>1284168.501</v>
      </c>
      <c r="GD26" s="28">
        <f t="shared" si="3"/>
        <v>2419694.424</v>
      </c>
      <c r="GE26" s="28">
        <f t="shared" si="3"/>
        <v>2206283.751</v>
      </c>
      <c r="GF26" s="28">
        <f t="shared" si="3"/>
        <v>2688023.961</v>
      </c>
      <c r="GG26" s="28">
        <f t="shared" si="3"/>
        <v>1154816.334</v>
      </c>
      <c r="GH26" s="28">
        <f t="shared" si="3"/>
        <v>1658607.3</v>
      </c>
      <c r="GI26" s="28">
        <f t="shared" si="3"/>
        <v>3247037.829</v>
      </c>
      <c r="GJ26" s="28">
        <f t="shared" si="3"/>
        <v>2574969.831</v>
      </c>
      <c r="GK26" s="28">
        <f t="shared" si="3"/>
        <v>1380596.553</v>
      </c>
      <c r="GL26" s="28">
        <f t="shared" si="3"/>
        <v>2294974.836</v>
      </c>
      <c r="GM26" s="28">
        <f t="shared" si="3"/>
        <v>1945491.156</v>
      </c>
      <c r="GN26" s="28">
        <f t="shared" si="3"/>
        <v>2981100.591</v>
      </c>
      <c r="GO26" s="28">
        <f t="shared" si="3"/>
        <v>3087473.886</v>
      </c>
      <c r="GP26" s="28">
        <f t="shared" si="3"/>
        <v>2760881.067</v>
      </c>
      <c r="GQ26" s="28">
        <f t="shared" si="3"/>
        <v>704400.039</v>
      </c>
      <c r="GR26" s="28">
        <f t="shared" si="3"/>
        <v>2852244.486</v>
      </c>
      <c r="GS26" s="28">
        <f t="shared" si="3"/>
        <v>2942503.767</v>
      </c>
      <c r="GT26" s="28">
        <f t="shared" si="3"/>
        <v>2275340.382</v>
      </c>
      <c r="GU26" s="28">
        <f t="shared" si="3"/>
        <v>2379297.375</v>
      </c>
      <c r="GV26" s="28">
        <f t="shared" si="3"/>
        <v>2208684.051</v>
      </c>
      <c r="GW26" s="28">
        <f t="shared" si="3"/>
        <v>2862805.806</v>
      </c>
      <c r="GX26" s="28">
        <f t="shared" si="3"/>
        <v>1786471.281</v>
      </c>
      <c r="GY26" s="28">
        <f t="shared" si="3"/>
        <v>2804862.564</v>
      </c>
      <c r="GZ26" s="28">
        <f t="shared" si="3"/>
        <v>1420577.55</v>
      </c>
      <c r="HA26" s="28">
        <f t="shared" si="3"/>
        <v>2787748.425</v>
      </c>
      <c r="HB26" s="28">
        <f t="shared" si="3"/>
        <v>662946.858</v>
      </c>
      <c r="HC26" s="28">
        <f t="shared" si="3"/>
        <v>3678291.729</v>
      </c>
      <c r="HD26" s="28">
        <f t="shared" si="3"/>
        <v>3122390.25</v>
      </c>
      <c r="HE26" s="28">
        <f t="shared" si="3"/>
        <v>3748388.49</v>
      </c>
      <c r="HF26" s="28">
        <f t="shared" si="3"/>
        <v>2070562.788</v>
      </c>
      <c r="HG26" s="28">
        <f t="shared" si="3"/>
        <v>2847835.935</v>
      </c>
      <c r="HH26" s="28">
        <f t="shared" si="3"/>
        <v>2188169.487</v>
      </c>
      <c r="HI26" s="28">
        <f t="shared" si="3"/>
        <v>1690923.339</v>
      </c>
      <c r="HJ26" s="28">
        <f t="shared" si="3"/>
        <v>2308904.577</v>
      </c>
      <c r="HK26" s="28">
        <f t="shared" si="3"/>
        <v>1634012.226</v>
      </c>
      <c r="HL26" s="28">
        <f t="shared" si="3"/>
        <v>1907614.422</v>
      </c>
      <c r="HM26" s="28">
        <f t="shared" si="3"/>
        <v>3909736.656</v>
      </c>
      <c r="HN26" s="28">
        <f t="shared" si="3"/>
        <v>1699732.44</v>
      </c>
      <c r="HO26" s="28">
        <f t="shared" si="3"/>
        <v>2027061.351</v>
      </c>
      <c r="HP26" s="28">
        <f t="shared" si="3"/>
        <v>1158368.778</v>
      </c>
      <c r="HQ26" s="28">
        <f t="shared" si="3"/>
        <v>2830537.773</v>
      </c>
      <c r="HR26" s="28">
        <f t="shared" si="3"/>
        <v>2885608.656</v>
      </c>
      <c r="HS26" s="28">
        <f t="shared" si="3"/>
        <v>2330203.239</v>
      </c>
      <c r="HT26" s="28">
        <f t="shared" si="3"/>
        <v>1360738.071</v>
      </c>
      <c r="HU26" s="28">
        <f t="shared" si="3"/>
        <v>2571681.42</v>
      </c>
      <c r="HV26" s="28">
        <f t="shared" si="3"/>
        <v>2645770.68</v>
      </c>
      <c r="HW26" s="28">
        <f t="shared" si="3"/>
        <v>1394838.333</v>
      </c>
      <c r="HX26" s="28">
        <f t="shared" si="3"/>
        <v>2987333.37</v>
      </c>
      <c r="HY26" s="28">
        <f t="shared" si="3"/>
        <v>711104.877</v>
      </c>
      <c r="HZ26" s="28">
        <f t="shared" si="3"/>
        <v>2202235.245</v>
      </c>
      <c r="IA26" s="28">
        <f t="shared" si="3"/>
        <v>1301738.697</v>
      </c>
      <c r="IB26" s="28">
        <f t="shared" si="3"/>
        <v>3233732.166</v>
      </c>
      <c r="IC26" s="28">
        <f t="shared" si="3"/>
        <v>1323469.413</v>
      </c>
      <c r="ID26" s="28">
        <f t="shared" si="3"/>
        <v>2254977.837</v>
      </c>
      <c r="IE26" s="28">
        <f t="shared" si="3"/>
        <v>1145727.198</v>
      </c>
      <c r="IF26" s="28">
        <f t="shared" si="3"/>
        <v>2892529.521</v>
      </c>
      <c r="IG26" s="28">
        <f t="shared" si="3"/>
        <v>1403559.423</v>
      </c>
      <c r="IH26" s="28">
        <f t="shared" si="3"/>
        <v>837432.666</v>
      </c>
      <c r="II26" s="28">
        <f t="shared" si="3"/>
        <v>6423834.879</v>
      </c>
      <c r="IJ26" s="28">
        <f t="shared" si="3"/>
        <v>1578885.336</v>
      </c>
      <c r="IK26" s="28">
        <f t="shared" si="3"/>
        <v>1361226.132</v>
      </c>
      <c r="IL26" s="28">
        <f t="shared" si="3"/>
        <v>975633.939</v>
      </c>
      <c r="IM26" s="28">
        <f t="shared" si="3"/>
        <v>2082388.266</v>
      </c>
      <c r="IN26" s="28">
        <f t="shared" si="3"/>
        <v>2132178.489</v>
      </c>
      <c r="IO26" s="28">
        <f t="shared" si="3"/>
        <v>1499787.45</v>
      </c>
      <c r="IP26" s="28">
        <f t="shared" si="3"/>
        <v>3263055.831</v>
      </c>
      <c r="IQ26" s="28">
        <f t="shared" si="3"/>
        <v>3158514.765</v>
      </c>
      <c r="IR26" s="28">
        <f t="shared" si="3"/>
        <v>2187441.396</v>
      </c>
      <c r="IS26" s="28">
        <f t="shared" si="3"/>
        <v>1417129.119</v>
      </c>
      <c r="IT26" s="28">
        <f t="shared" si="3"/>
        <v>1654390.773</v>
      </c>
      <c r="IU26" s="28">
        <f t="shared" si="3"/>
        <v>4709876.661</v>
      </c>
      <c r="IV26" s="28">
        <f t="shared" si="3"/>
        <v>0</v>
      </c>
      <c r="IW26" s="28">
        <f t="shared" si="3"/>
        <v>2876255.487</v>
      </c>
      <c r="IX26" s="28">
        <f t="shared" si="3"/>
        <v>2453426.64</v>
      </c>
      <c r="IY26" s="28">
        <f t="shared" si="3"/>
        <v>2199274.875</v>
      </c>
      <c r="IZ26" s="28">
        <f t="shared" si="3"/>
        <v>1925488.656</v>
      </c>
      <c r="JA26" s="28">
        <f t="shared" si="3"/>
        <v>2026061.226</v>
      </c>
      <c r="JB26" s="28">
        <f t="shared" si="3"/>
        <v>2008323.009</v>
      </c>
      <c r="JC26" s="28">
        <f t="shared" si="3"/>
        <v>3293755.668</v>
      </c>
      <c r="JD26" s="28">
        <f t="shared" si="3"/>
        <v>1219752.45</v>
      </c>
      <c r="JE26" s="28">
        <f t="shared" si="3"/>
        <v>2854548.774</v>
      </c>
      <c r="JF26" s="28">
        <f t="shared" si="3"/>
        <v>3384222.975</v>
      </c>
      <c r="JG26" s="28">
        <f t="shared" si="3"/>
        <v>579512.43</v>
      </c>
      <c r="JH26" s="28">
        <f t="shared" si="3"/>
        <v>2020220.496</v>
      </c>
      <c r="JI26" s="28">
        <f t="shared" si="3"/>
        <v>4430913.795</v>
      </c>
      <c r="JJ26" s="28">
        <f t="shared" si="3"/>
        <v>0</v>
      </c>
      <c r="JK26" s="28">
        <f t="shared" si="3"/>
        <v>1624547.043</v>
      </c>
      <c r="JL26" s="28">
        <f t="shared" si="3"/>
        <v>2355966.459</v>
      </c>
      <c r="JM26" s="28">
        <f t="shared" si="3"/>
        <v>1731456.405</v>
      </c>
      <c r="JN26" s="28">
        <f t="shared" si="3"/>
        <v>1781686.683</v>
      </c>
      <c r="JO26" s="28">
        <f t="shared" si="3"/>
        <v>2025869.202</v>
      </c>
      <c r="JP26" s="28">
        <f t="shared" si="3"/>
        <v>2429623.665</v>
      </c>
      <c r="JQ26" s="28">
        <f t="shared" si="3"/>
        <v>3724265.475</v>
      </c>
      <c r="JR26" s="28">
        <f t="shared" si="3"/>
        <v>4219367.355</v>
      </c>
      <c r="JS26" s="28">
        <f t="shared" si="3"/>
        <v>1305491.166</v>
      </c>
      <c r="JT26" s="28">
        <f t="shared" si="3"/>
        <v>1239674.94</v>
      </c>
      <c r="JU26" s="28">
        <f t="shared" si="3"/>
        <v>2691512.397</v>
      </c>
      <c r="JV26" s="28">
        <f t="shared" si="3"/>
        <v>1587238.38</v>
      </c>
      <c r="JW26" s="28">
        <f t="shared" si="3"/>
        <v>1361874.213</v>
      </c>
      <c r="JX26" s="28">
        <f t="shared" si="3"/>
        <v>2324826.567</v>
      </c>
      <c r="JY26" s="28">
        <f t="shared" si="3"/>
        <v>4102168.707</v>
      </c>
      <c r="JZ26" s="28">
        <f t="shared" si="3"/>
        <v>1479728.943</v>
      </c>
      <c r="KA26" s="28">
        <f t="shared" si="3"/>
        <v>2505625.164</v>
      </c>
      <c r="KB26" s="28">
        <f t="shared" si="3"/>
        <v>2269523.655</v>
      </c>
      <c r="KC26" s="28">
        <f t="shared" si="3"/>
        <v>744060.996</v>
      </c>
      <c r="KD26" s="28">
        <f t="shared" si="3"/>
        <v>1228369.527</v>
      </c>
      <c r="KE26" s="28">
        <f t="shared" si="3"/>
        <v>2928550.023</v>
      </c>
      <c r="KF26" s="28">
        <f t="shared" si="3"/>
        <v>2322242.244</v>
      </c>
      <c r="KG26" s="28">
        <f t="shared" si="3"/>
        <v>2301623.667</v>
      </c>
      <c r="KH26" s="28">
        <f t="shared" si="3"/>
        <v>3448278.981</v>
      </c>
      <c r="KI26" s="28">
        <f t="shared" si="3"/>
        <v>3395616.399</v>
      </c>
      <c r="KJ26" s="28">
        <f t="shared" si="3"/>
        <v>2129810.193</v>
      </c>
      <c r="KK26" s="28">
        <f t="shared" si="3"/>
        <v>2075579.415</v>
      </c>
      <c r="KL26" s="28">
        <f t="shared" si="3"/>
        <v>1416353.022</v>
      </c>
      <c r="KM26" s="28">
        <f t="shared" si="3"/>
        <v>3276865.557</v>
      </c>
      <c r="KN26" s="28">
        <f t="shared" si="3"/>
        <v>4198212.711</v>
      </c>
      <c r="KO26" s="28">
        <f t="shared" si="3"/>
        <v>2245336.632</v>
      </c>
      <c r="KP26" s="28">
        <f t="shared" si="3"/>
        <v>2128001.967</v>
      </c>
      <c r="KQ26" s="28">
        <f t="shared" si="3"/>
        <v>2659788.432</v>
      </c>
      <c r="KR26" s="28">
        <f t="shared" si="3"/>
        <v>2016724.059</v>
      </c>
      <c r="KS26" s="28">
        <f t="shared" si="3"/>
        <v>725026.617</v>
      </c>
      <c r="KT26" s="28">
        <f t="shared" si="3"/>
        <v>3279769.92</v>
      </c>
      <c r="KU26" s="28">
        <f t="shared" si="3"/>
        <v>3576158.964</v>
      </c>
      <c r="KV26" s="28">
        <f t="shared" si="3"/>
        <v>3113981.199</v>
      </c>
      <c r="KW26" s="28">
        <f t="shared" si="3"/>
        <v>2410181.235</v>
      </c>
      <c r="KX26" s="28">
        <f t="shared" si="3"/>
        <v>1967685.93</v>
      </c>
      <c r="KY26" s="28">
        <f t="shared" si="3"/>
        <v>1502715.816</v>
      </c>
      <c r="KZ26" s="28">
        <f t="shared" si="3"/>
        <v>2505369.132</v>
      </c>
      <c r="LA26" s="28">
        <f t="shared" si="3"/>
        <v>2204331.507</v>
      </c>
      <c r="LB26" s="28">
        <f t="shared" si="3"/>
        <v>2506977.333</v>
      </c>
      <c r="LC26" s="28">
        <f t="shared" si="3"/>
        <v>3093146.595</v>
      </c>
      <c r="LD26" s="28">
        <f t="shared" si="3"/>
        <v>3358827.801</v>
      </c>
      <c r="LE26" s="28">
        <f t="shared" si="3"/>
        <v>2763385.38</v>
      </c>
      <c r="LF26" s="28">
        <f t="shared" si="3"/>
        <v>2561512.149</v>
      </c>
      <c r="LG26" s="28">
        <f t="shared" si="3"/>
        <v>2058553.287</v>
      </c>
      <c r="LH26" s="28">
        <f t="shared" si="3"/>
        <v>2540493.522</v>
      </c>
      <c r="LI26" s="28">
        <f t="shared" si="3"/>
        <v>1623722.94</v>
      </c>
      <c r="LJ26" s="28">
        <f t="shared" si="3"/>
        <v>1479888.963</v>
      </c>
      <c r="LK26" s="28">
        <f t="shared" si="3"/>
        <v>2877719.67</v>
      </c>
      <c r="LL26" s="28">
        <f t="shared" si="3"/>
        <v>3000831.057</v>
      </c>
      <c r="LM26" s="28">
        <f t="shared" si="3"/>
        <v>2477237.616</v>
      </c>
      <c r="LN26" s="28">
        <f t="shared" si="3"/>
        <v>1360850.085</v>
      </c>
      <c r="LO26" s="28">
        <f t="shared" si="3"/>
        <v>1857384.144</v>
      </c>
      <c r="LP26" s="28">
        <f t="shared" si="3"/>
        <v>3256639.029</v>
      </c>
      <c r="LQ26" s="28">
        <f t="shared" si="3"/>
        <v>3091922.442</v>
      </c>
      <c r="LR26" s="28">
        <f t="shared" si="3"/>
        <v>1293433.659</v>
      </c>
      <c r="LS26" s="28">
        <f t="shared" si="3"/>
        <v>1787607.423</v>
      </c>
      <c r="LT26" s="28">
        <f t="shared" si="3"/>
        <v>3723321.357</v>
      </c>
      <c r="LU26" s="28">
        <f t="shared" si="3"/>
        <v>1513949.22</v>
      </c>
      <c r="LV26" s="28">
        <f t="shared" si="3"/>
        <v>2403980.46</v>
      </c>
      <c r="LW26" s="28">
        <f t="shared" si="3"/>
        <v>657002.115</v>
      </c>
      <c r="LX26" s="28">
        <f t="shared" si="3"/>
        <v>4033168.083</v>
      </c>
      <c r="LY26" s="28">
        <f t="shared" si="3"/>
        <v>2525363.631</v>
      </c>
      <c r="LZ26" s="28">
        <f t="shared" si="3"/>
        <v>3379638.402</v>
      </c>
      <c r="MA26" s="28">
        <f t="shared" si="3"/>
        <v>2734701.795</v>
      </c>
      <c r="MB26" s="28">
        <f t="shared" si="3"/>
        <v>635759.46</v>
      </c>
      <c r="MC26" s="28">
        <f t="shared" si="3"/>
        <v>4430281.716</v>
      </c>
      <c r="MD26" s="28">
        <f t="shared" si="3"/>
        <v>744293.025</v>
      </c>
      <c r="ME26" s="28">
        <f t="shared" si="3"/>
        <v>1041386.157</v>
      </c>
      <c r="MF26" s="28">
        <f t="shared" si="3"/>
        <v>2329867.197</v>
      </c>
      <c r="MG26" s="28">
        <f t="shared" si="3"/>
        <v>3107676.411</v>
      </c>
      <c r="MH26" s="28">
        <f t="shared" si="3"/>
        <v>2034638.298</v>
      </c>
      <c r="MI26" s="28">
        <f t="shared" si="3"/>
        <v>4196876.544</v>
      </c>
      <c r="MJ26" s="28">
        <f t="shared" si="3"/>
        <v>1371491.415</v>
      </c>
      <c r="MK26" s="28">
        <f t="shared" si="3"/>
        <v>976754.079</v>
      </c>
      <c r="ML26" s="28">
        <f t="shared" si="3"/>
        <v>3528376.992</v>
      </c>
      <c r="MM26" s="28">
        <f t="shared" si="3"/>
        <v>1393558.173</v>
      </c>
      <c r="MN26" s="28">
        <f t="shared" si="3"/>
        <v>1925048.601</v>
      </c>
      <c r="MO26" s="28">
        <f t="shared" si="3"/>
        <v>2434648.293</v>
      </c>
      <c r="MP26" s="28">
        <f t="shared" si="3"/>
        <v>3331792.422</v>
      </c>
      <c r="MQ26" s="28">
        <f t="shared" si="3"/>
        <v>4342862.79</v>
      </c>
      <c r="MR26" s="28">
        <f t="shared" si="3"/>
        <v>3191430.879</v>
      </c>
      <c r="MS26" s="28">
        <f t="shared" si="3"/>
        <v>656914.104</v>
      </c>
      <c r="MT26" s="28">
        <f t="shared" si="3"/>
        <v>3482347.239</v>
      </c>
      <c r="MU26" s="28">
        <f t="shared" si="3"/>
        <v>1647973.971</v>
      </c>
      <c r="MV26" s="28">
        <f t="shared" si="3"/>
        <v>1321597.179</v>
      </c>
      <c r="MW26" s="28">
        <f t="shared" si="3"/>
        <v>3835463.373</v>
      </c>
      <c r="MX26" s="28">
        <f t="shared" si="3"/>
        <v>2533420.638</v>
      </c>
      <c r="MY26" s="28">
        <f t="shared" si="3"/>
        <v>2331995.463</v>
      </c>
      <c r="MZ26" s="28">
        <f t="shared" si="3"/>
        <v>1748690.559</v>
      </c>
      <c r="NA26" s="28">
        <f t="shared" si="3"/>
        <v>1263061.863</v>
      </c>
      <c r="NB26" s="28">
        <f t="shared" si="3"/>
        <v>4177730.151</v>
      </c>
    </row>
    <row r="27" ht="15.75" customHeight="1">
      <c r="B27" s="29" t="str">
        <f>B12</f>
        <v>LPG Tanker</v>
      </c>
      <c r="C27" s="30">
        <f t="shared" ref="C27:NB27" si="4">C14*$C$19</f>
        <v>0</v>
      </c>
      <c r="D27" s="30">
        <f t="shared" si="4"/>
        <v>0</v>
      </c>
      <c r="E27" s="30">
        <f t="shared" si="4"/>
        <v>0</v>
      </c>
      <c r="F27" s="30">
        <f t="shared" si="4"/>
        <v>0</v>
      </c>
      <c r="G27" s="30">
        <f t="shared" si="4"/>
        <v>0</v>
      </c>
      <c r="H27" s="30">
        <f t="shared" si="4"/>
        <v>0</v>
      </c>
      <c r="I27" s="30">
        <f t="shared" si="4"/>
        <v>0</v>
      </c>
      <c r="J27" s="30">
        <f t="shared" si="4"/>
        <v>0</v>
      </c>
      <c r="K27" s="30">
        <f t="shared" si="4"/>
        <v>0</v>
      </c>
      <c r="L27" s="30">
        <f t="shared" si="4"/>
        <v>21555.036</v>
      </c>
      <c r="M27" s="30">
        <f t="shared" si="4"/>
        <v>0</v>
      </c>
      <c r="N27" s="30">
        <f t="shared" si="4"/>
        <v>136593.162</v>
      </c>
      <c r="O27" s="30">
        <f t="shared" si="4"/>
        <v>414621.45</v>
      </c>
      <c r="P27" s="30">
        <f t="shared" si="4"/>
        <v>429185.052</v>
      </c>
      <c r="Q27" s="30">
        <f t="shared" si="4"/>
        <v>377069.832</v>
      </c>
      <c r="R27" s="30">
        <f t="shared" si="4"/>
        <v>401294.736</v>
      </c>
      <c r="S27" s="30">
        <f t="shared" si="4"/>
        <v>0</v>
      </c>
      <c r="T27" s="30">
        <f t="shared" si="4"/>
        <v>0</v>
      </c>
      <c r="U27" s="30">
        <f t="shared" si="4"/>
        <v>0</v>
      </c>
      <c r="V27" s="30">
        <f t="shared" si="4"/>
        <v>0</v>
      </c>
      <c r="W27" s="30">
        <f t="shared" si="4"/>
        <v>0</v>
      </c>
      <c r="X27" s="30">
        <f t="shared" si="4"/>
        <v>0</v>
      </c>
      <c r="Y27" s="30">
        <f t="shared" si="4"/>
        <v>175404.294</v>
      </c>
      <c r="Z27" s="30">
        <f t="shared" si="4"/>
        <v>0</v>
      </c>
      <c r="AA27" s="30">
        <f t="shared" si="4"/>
        <v>413180.928</v>
      </c>
      <c r="AB27" s="30">
        <f t="shared" si="4"/>
        <v>0</v>
      </c>
      <c r="AC27" s="30">
        <f t="shared" si="4"/>
        <v>0</v>
      </c>
      <c r="AD27" s="30">
        <f t="shared" si="4"/>
        <v>0</v>
      </c>
      <c r="AE27" s="30">
        <f t="shared" si="4"/>
        <v>22626</v>
      </c>
      <c r="AF27" s="30">
        <f t="shared" si="4"/>
        <v>376149.708</v>
      </c>
      <c r="AG27" s="30">
        <f t="shared" si="4"/>
        <v>0</v>
      </c>
      <c r="AH27" s="30">
        <f t="shared" si="4"/>
        <v>45221.832</v>
      </c>
      <c r="AI27" s="30">
        <f t="shared" si="4"/>
        <v>175396.752</v>
      </c>
      <c r="AJ27" s="30">
        <f t="shared" si="4"/>
        <v>0</v>
      </c>
      <c r="AK27" s="30">
        <f t="shared" si="4"/>
        <v>219630.582</v>
      </c>
      <c r="AL27" s="30">
        <f t="shared" si="4"/>
        <v>0</v>
      </c>
      <c r="AM27" s="30">
        <f t="shared" si="4"/>
        <v>377069.832</v>
      </c>
      <c r="AN27" s="30">
        <f t="shared" si="4"/>
        <v>54581.454</v>
      </c>
      <c r="AO27" s="30">
        <f t="shared" si="4"/>
        <v>1236307.266</v>
      </c>
      <c r="AP27" s="30">
        <f t="shared" si="4"/>
        <v>0</v>
      </c>
      <c r="AQ27" s="30">
        <f t="shared" si="4"/>
        <v>0</v>
      </c>
      <c r="AR27" s="30">
        <f t="shared" si="4"/>
        <v>0</v>
      </c>
      <c r="AS27" s="30">
        <f t="shared" si="4"/>
        <v>0</v>
      </c>
      <c r="AT27" s="30">
        <f t="shared" si="4"/>
        <v>0</v>
      </c>
      <c r="AU27" s="30">
        <f t="shared" si="4"/>
        <v>0</v>
      </c>
      <c r="AV27" s="30">
        <f t="shared" si="4"/>
        <v>420074.316</v>
      </c>
      <c r="AW27" s="30">
        <f t="shared" si="4"/>
        <v>0</v>
      </c>
      <c r="AX27" s="30">
        <f t="shared" si="4"/>
        <v>0</v>
      </c>
      <c r="AY27" s="30">
        <f t="shared" si="4"/>
        <v>0</v>
      </c>
      <c r="AZ27" s="30">
        <f t="shared" si="4"/>
        <v>1277637.426</v>
      </c>
      <c r="BA27" s="30">
        <f t="shared" si="4"/>
        <v>175668.264</v>
      </c>
      <c r="BB27" s="30">
        <f t="shared" si="4"/>
        <v>199289.808</v>
      </c>
      <c r="BC27" s="30">
        <f t="shared" si="4"/>
        <v>0</v>
      </c>
      <c r="BD27" s="30">
        <f t="shared" si="4"/>
        <v>991154.556</v>
      </c>
      <c r="BE27" s="30">
        <f t="shared" si="4"/>
        <v>0</v>
      </c>
      <c r="BF27" s="30">
        <f t="shared" si="4"/>
        <v>0</v>
      </c>
      <c r="BG27" s="30">
        <f t="shared" si="4"/>
        <v>0</v>
      </c>
      <c r="BH27" s="30">
        <f t="shared" si="4"/>
        <v>0</v>
      </c>
      <c r="BI27" s="30">
        <f t="shared" si="4"/>
        <v>0</v>
      </c>
      <c r="BJ27" s="30">
        <f t="shared" si="4"/>
        <v>880151.4</v>
      </c>
      <c r="BK27" s="30">
        <f t="shared" si="4"/>
        <v>0</v>
      </c>
      <c r="BL27" s="30">
        <f t="shared" si="4"/>
        <v>748920.6</v>
      </c>
      <c r="BM27" s="30">
        <f t="shared" si="4"/>
        <v>0</v>
      </c>
      <c r="BN27" s="30">
        <f t="shared" si="4"/>
        <v>177259.626</v>
      </c>
      <c r="BO27" s="30">
        <f t="shared" si="4"/>
        <v>852721.146</v>
      </c>
      <c r="BP27" s="30">
        <f t="shared" si="4"/>
        <v>0</v>
      </c>
      <c r="BQ27" s="30">
        <f t="shared" si="4"/>
        <v>0</v>
      </c>
      <c r="BR27" s="30">
        <f t="shared" si="4"/>
        <v>0</v>
      </c>
      <c r="BS27" s="30">
        <f t="shared" si="4"/>
        <v>0</v>
      </c>
      <c r="BT27" s="30">
        <f t="shared" si="4"/>
        <v>0</v>
      </c>
      <c r="BU27" s="30">
        <f t="shared" si="4"/>
        <v>374679.018</v>
      </c>
      <c r="BV27" s="30">
        <f t="shared" si="4"/>
        <v>0</v>
      </c>
      <c r="BW27" s="30">
        <f t="shared" si="4"/>
        <v>375961.158</v>
      </c>
      <c r="BX27" s="30">
        <f t="shared" si="4"/>
        <v>0</v>
      </c>
      <c r="BY27" s="30">
        <f t="shared" si="4"/>
        <v>411295.428</v>
      </c>
      <c r="BZ27" s="30">
        <f t="shared" si="4"/>
        <v>0</v>
      </c>
      <c r="CA27" s="30">
        <f t="shared" si="4"/>
        <v>0</v>
      </c>
      <c r="CB27" s="30">
        <f t="shared" si="4"/>
        <v>371383.164</v>
      </c>
      <c r="CC27" s="30">
        <f t="shared" si="4"/>
        <v>0</v>
      </c>
      <c r="CD27" s="30">
        <f t="shared" si="4"/>
        <v>0</v>
      </c>
      <c r="CE27" s="30">
        <f t="shared" si="4"/>
        <v>0</v>
      </c>
      <c r="CF27" s="30">
        <f t="shared" si="4"/>
        <v>428566.608</v>
      </c>
      <c r="CG27" s="30">
        <f t="shared" si="4"/>
        <v>0</v>
      </c>
      <c r="CH27" s="30">
        <f t="shared" si="4"/>
        <v>0</v>
      </c>
      <c r="CI27" s="30">
        <f t="shared" si="4"/>
        <v>379792.494</v>
      </c>
      <c r="CJ27" s="30">
        <f t="shared" si="4"/>
        <v>0</v>
      </c>
      <c r="CK27" s="30">
        <f t="shared" si="4"/>
        <v>413806.914</v>
      </c>
      <c r="CL27" s="30">
        <f t="shared" si="4"/>
        <v>874080.09</v>
      </c>
      <c r="CM27" s="30">
        <f t="shared" si="4"/>
        <v>457294.086</v>
      </c>
      <c r="CN27" s="30">
        <f t="shared" si="4"/>
        <v>1436192.892</v>
      </c>
      <c r="CO27" s="30">
        <f t="shared" si="4"/>
        <v>211960.368</v>
      </c>
      <c r="CP27" s="30">
        <f t="shared" si="4"/>
        <v>1464256.674</v>
      </c>
      <c r="CQ27" s="30">
        <f t="shared" si="4"/>
        <v>1189758.042</v>
      </c>
      <c r="CR27" s="30">
        <f t="shared" si="4"/>
        <v>2324942.172</v>
      </c>
      <c r="CS27" s="30">
        <f t="shared" si="4"/>
        <v>1604688.714</v>
      </c>
      <c r="CT27" s="30">
        <f t="shared" si="4"/>
        <v>1594755.9</v>
      </c>
      <c r="CU27" s="30">
        <f t="shared" si="4"/>
        <v>415496.322</v>
      </c>
      <c r="CV27" s="30">
        <f t="shared" si="4"/>
        <v>1040954.382</v>
      </c>
      <c r="CW27" s="30">
        <f t="shared" si="4"/>
        <v>615940.056</v>
      </c>
      <c r="CX27" s="30">
        <f t="shared" si="4"/>
        <v>2218856.4</v>
      </c>
      <c r="CY27" s="30">
        <f t="shared" si="4"/>
        <v>1590615.342</v>
      </c>
      <c r="CZ27" s="30">
        <f t="shared" si="4"/>
        <v>605562.264</v>
      </c>
      <c r="DA27" s="30">
        <f t="shared" si="4"/>
        <v>1243359.036</v>
      </c>
      <c r="DB27" s="30">
        <f t="shared" si="4"/>
        <v>1209420.036</v>
      </c>
      <c r="DC27" s="30">
        <f t="shared" si="4"/>
        <v>1057644.828</v>
      </c>
      <c r="DD27" s="30">
        <f t="shared" si="4"/>
        <v>422419.878</v>
      </c>
      <c r="DE27" s="30">
        <f t="shared" si="4"/>
        <v>1255690.206</v>
      </c>
      <c r="DF27" s="30">
        <f t="shared" si="4"/>
        <v>1699732.998</v>
      </c>
      <c r="DG27" s="30">
        <f t="shared" si="4"/>
        <v>1722313.746</v>
      </c>
      <c r="DH27" s="30">
        <f t="shared" si="4"/>
        <v>1095860.142</v>
      </c>
      <c r="DI27" s="30">
        <f t="shared" si="4"/>
        <v>2024529.228</v>
      </c>
      <c r="DJ27" s="30">
        <f t="shared" si="4"/>
        <v>1456684.506</v>
      </c>
      <c r="DK27" s="30">
        <f t="shared" si="4"/>
        <v>1292472.54</v>
      </c>
      <c r="DL27" s="30">
        <f t="shared" si="4"/>
        <v>1679113.17</v>
      </c>
      <c r="DM27" s="30">
        <f t="shared" si="4"/>
        <v>642842.37</v>
      </c>
      <c r="DN27" s="30">
        <f t="shared" si="4"/>
        <v>1995424.65</v>
      </c>
      <c r="DO27" s="30">
        <f t="shared" si="4"/>
        <v>1492388.334</v>
      </c>
      <c r="DP27" s="30">
        <f t="shared" si="4"/>
        <v>1955233.332</v>
      </c>
      <c r="DQ27" s="30">
        <f t="shared" si="4"/>
        <v>1170503.316</v>
      </c>
      <c r="DR27" s="30">
        <f t="shared" si="4"/>
        <v>822108.168</v>
      </c>
      <c r="DS27" s="30">
        <f t="shared" si="4"/>
        <v>0</v>
      </c>
      <c r="DT27" s="30">
        <f t="shared" si="4"/>
        <v>1297510.596</v>
      </c>
      <c r="DU27" s="30">
        <f t="shared" si="4"/>
        <v>623089.872</v>
      </c>
      <c r="DV27" s="30">
        <f t="shared" si="4"/>
        <v>415232.352</v>
      </c>
      <c r="DW27" s="30">
        <f t="shared" si="4"/>
        <v>873936.792</v>
      </c>
      <c r="DX27" s="30">
        <f t="shared" si="4"/>
        <v>1193657.256</v>
      </c>
      <c r="DY27" s="30">
        <f t="shared" si="4"/>
        <v>1077419.952</v>
      </c>
      <c r="DZ27" s="30">
        <f t="shared" si="4"/>
        <v>605441.592</v>
      </c>
      <c r="EA27" s="30">
        <f t="shared" si="4"/>
        <v>734055.318</v>
      </c>
      <c r="EB27" s="30">
        <f t="shared" si="4"/>
        <v>476563.896</v>
      </c>
      <c r="EC27" s="30">
        <f t="shared" si="4"/>
        <v>412901.874</v>
      </c>
      <c r="ED27" s="30">
        <f t="shared" si="4"/>
        <v>1736598.294</v>
      </c>
      <c r="EE27" s="30">
        <f t="shared" si="4"/>
        <v>886652.604</v>
      </c>
      <c r="EF27" s="30">
        <f t="shared" si="4"/>
        <v>840691.656</v>
      </c>
      <c r="EG27" s="30">
        <f t="shared" si="4"/>
        <v>1754186.238</v>
      </c>
      <c r="EH27" s="30">
        <f t="shared" si="4"/>
        <v>1904407.794</v>
      </c>
      <c r="EI27" s="30">
        <f t="shared" si="4"/>
        <v>787369.716</v>
      </c>
      <c r="EJ27" s="30">
        <f t="shared" si="4"/>
        <v>2317641.516</v>
      </c>
      <c r="EK27" s="30">
        <f t="shared" si="4"/>
        <v>441689.688</v>
      </c>
      <c r="EL27" s="30">
        <f t="shared" si="4"/>
        <v>1187759.412</v>
      </c>
      <c r="EM27" s="30">
        <f t="shared" si="4"/>
        <v>1241413.2</v>
      </c>
      <c r="EN27" s="30">
        <f t="shared" si="4"/>
        <v>1428605.64</v>
      </c>
      <c r="EO27" s="30">
        <f t="shared" si="4"/>
        <v>3083818.212</v>
      </c>
      <c r="EP27" s="30">
        <f t="shared" si="4"/>
        <v>820645.02</v>
      </c>
      <c r="EQ27" s="30">
        <f t="shared" si="4"/>
        <v>257197.284</v>
      </c>
      <c r="ER27" s="30">
        <f t="shared" si="4"/>
        <v>638769.69</v>
      </c>
      <c r="ES27" s="30">
        <f t="shared" si="4"/>
        <v>431583.408</v>
      </c>
      <c r="ET27" s="30">
        <f t="shared" si="4"/>
        <v>551795.346</v>
      </c>
      <c r="EU27" s="30">
        <f t="shared" si="4"/>
        <v>847577.502</v>
      </c>
      <c r="EV27" s="30">
        <f t="shared" si="4"/>
        <v>198814.662</v>
      </c>
      <c r="EW27" s="30">
        <f t="shared" si="4"/>
        <v>1943935.416</v>
      </c>
      <c r="EX27" s="30">
        <f t="shared" si="4"/>
        <v>604679.85</v>
      </c>
      <c r="EY27" s="30">
        <f t="shared" si="4"/>
        <v>1025508.366</v>
      </c>
      <c r="EZ27" s="30">
        <f t="shared" si="4"/>
        <v>1392079.734</v>
      </c>
      <c r="FA27" s="30">
        <f t="shared" si="4"/>
        <v>1427489.424</v>
      </c>
      <c r="FB27" s="30">
        <f t="shared" si="4"/>
        <v>1220469.066</v>
      </c>
      <c r="FC27" s="30">
        <f t="shared" si="4"/>
        <v>820667.646</v>
      </c>
      <c r="FD27" s="30">
        <f t="shared" si="4"/>
        <v>136585.62</v>
      </c>
      <c r="FE27" s="30">
        <f t="shared" si="4"/>
        <v>813261.402</v>
      </c>
      <c r="FF27" s="30">
        <f t="shared" si="4"/>
        <v>2449679.31</v>
      </c>
      <c r="FG27" s="30">
        <f t="shared" si="4"/>
        <v>896261.112</v>
      </c>
      <c r="FH27" s="30">
        <f t="shared" si="4"/>
        <v>1429819.902</v>
      </c>
      <c r="FI27" s="30">
        <f t="shared" si="4"/>
        <v>497515.572</v>
      </c>
      <c r="FJ27" s="30">
        <f t="shared" si="4"/>
        <v>411046.542</v>
      </c>
      <c r="FK27" s="30">
        <f t="shared" si="4"/>
        <v>200737.872</v>
      </c>
      <c r="FL27" s="30">
        <f t="shared" si="4"/>
        <v>1461790.44</v>
      </c>
      <c r="FM27" s="30">
        <f t="shared" si="4"/>
        <v>1293083.442</v>
      </c>
      <c r="FN27" s="30">
        <f t="shared" si="4"/>
        <v>997716.096</v>
      </c>
      <c r="FO27" s="30">
        <f t="shared" si="4"/>
        <v>1488489.12</v>
      </c>
      <c r="FP27" s="30">
        <f t="shared" si="4"/>
        <v>802589.472</v>
      </c>
      <c r="FQ27" s="30">
        <f t="shared" si="4"/>
        <v>605901.654</v>
      </c>
      <c r="FR27" s="30">
        <f t="shared" si="4"/>
        <v>1235907.54</v>
      </c>
      <c r="FS27" s="30">
        <f t="shared" si="4"/>
        <v>423083.574</v>
      </c>
      <c r="FT27" s="30">
        <f t="shared" si="4"/>
        <v>949741.434</v>
      </c>
      <c r="FU27" s="30">
        <f t="shared" si="4"/>
        <v>1213960.32</v>
      </c>
      <c r="FV27" s="30">
        <f t="shared" si="4"/>
        <v>1424698.884</v>
      </c>
      <c r="FW27" s="30">
        <f t="shared" si="4"/>
        <v>786132.828</v>
      </c>
      <c r="FX27" s="30">
        <f t="shared" si="4"/>
        <v>1734139.602</v>
      </c>
      <c r="FY27" s="30">
        <f t="shared" si="4"/>
        <v>1735927.056</v>
      </c>
      <c r="FZ27" s="30">
        <f t="shared" si="4"/>
        <v>706949.37</v>
      </c>
      <c r="GA27" s="30">
        <f t="shared" si="4"/>
        <v>848301.534</v>
      </c>
      <c r="GB27" s="30">
        <f t="shared" si="4"/>
        <v>708676.488</v>
      </c>
      <c r="GC27" s="30">
        <f t="shared" si="4"/>
        <v>900235.746</v>
      </c>
      <c r="GD27" s="30">
        <f t="shared" si="4"/>
        <v>1144679.508</v>
      </c>
      <c r="GE27" s="30">
        <f t="shared" si="4"/>
        <v>2293273.314</v>
      </c>
      <c r="GF27" s="30">
        <f t="shared" si="4"/>
        <v>599249.61</v>
      </c>
      <c r="GG27" s="30">
        <f t="shared" si="4"/>
        <v>1097655.138</v>
      </c>
      <c r="GH27" s="30">
        <f t="shared" si="4"/>
        <v>1867105.062</v>
      </c>
      <c r="GI27" s="30">
        <f t="shared" si="4"/>
        <v>1072577.988</v>
      </c>
      <c r="GJ27" s="30">
        <f t="shared" si="4"/>
        <v>61105.284</v>
      </c>
      <c r="GK27" s="30">
        <f t="shared" si="4"/>
        <v>1511650.602</v>
      </c>
      <c r="GL27" s="30">
        <f t="shared" si="4"/>
        <v>614522.16</v>
      </c>
      <c r="GM27" s="30">
        <f t="shared" si="4"/>
        <v>2499788.358</v>
      </c>
      <c r="GN27" s="30">
        <f t="shared" si="4"/>
        <v>2130418.908</v>
      </c>
      <c r="GO27" s="30">
        <f t="shared" si="4"/>
        <v>438522.048</v>
      </c>
      <c r="GP27" s="30">
        <f t="shared" si="4"/>
        <v>1573231.032</v>
      </c>
      <c r="GQ27" s="30">
        <f t="shared" si="4"/>
        <v>725887.332</v>
      </c>
      <c r="GR27" s="30">
        <f t="shared" si="4"/>
        <v>121237.65</v>
      </c>
      <c r="GS27" s="30">
        <f t="shared" si="4"/>
        <v>1911889.458</v>
      </c>
      <c r="GT27" s="30">
        <f t="shared" si="4"/>
        <v>2448940.194</v>
      </c>
      <c r="GU27" s="30">
        <f t="shared" si="4"/>
        <v>1114534.134</v>
      </c>
      <c r="GV27" s="30">
        <f t="shared" si="4"/>
        <v>1856930.904</v>
      </c>
      <c r="GW27" s="30">
        <f t="shared" si="4"/>
        <v>1874993.994</v>
      </c>
      <c r="GX27" s="30">
        <f t="shared" si="4"/>
        <v>988710.948</v>
      </c>
      <c r="GY27" s="30">
        <f t="shared" si="4"/>
        <v>0</v>
      </c>
      <c r="GZ27" s="30">
        <f t="shared" si="4"/>
        <v>1486746.918</v>
      </c>
      <c r="HA27" s="30">
        <f t="shared" si="4"/>
        <v>931595.382</v>
      </c>
      <c r="HB27" s="30">
        <f t="shared" si="4"/>
        <v>410873.076</v>
      </c>
      <c r="HC27" s="30">
        <f t="shared" si="4"/>
        <v>1718271.234</v>
      </c>
      <c r="HD27" s="30">
        <f t="shared" si="4"/>
        <v>1251376.182</v>
      </c>
      <c r="HE27" s="30">
        <f t="shared" si="4"/>
        <v>2032440.786</v>
      </c>
      <c r="HF27" s="30">
        <f t="shared" si="4"/>
        <v>264890.124</v>
      </c>
      <c r="HG27" s="30">
        <f t="shared" si="4"/>
        <v>447625.242</v>
      </c>
      <c r="HH27" s="30">
        <f t="shared" si="4"/>
        <v>1038073.338</v>
      </c>
      <c r="HI27" s="30">
        <f t="shared" si="4"/>
        <v>2128435.362</v>
      </c>
      <c r="HJ27" s="30">
        <f t="shared" si="4"/>
        <v>1410927.192</v>
      </c>
      <c r="HK27" s="30">
        <f t="shared" si="4"/>
        <v>645632.91</v>
      </c>
      <c r="HL27" s="30">
        <f t="shared" si="4"/>
        <v>631687.752</v>
      </c>
      <c r="HM27" s="30">
        <f t="shared" si="4"/>
        <v>878733.504</v>
      </c>
      <c r="HN27" s="30">
        <f t="shared" si="4"/>
        <v>1249513.308</v>
      </c>
      <c r="HO27" s="30">
        <f t="shared" si="4"/>
        <v>1025184.06</v>
      </c>
      <c r="HP27" s="30">
        <f t="shared" si="4"/>
        <v>1466451.396</v>
      </c>
      <c r="HQ27" s="30">
        <f t="shared" si="4"/>
        <v>2688919.092</v>
      </c>
      <c r="HR27" s="30">
        <f t="shared" si="4"/>
        <v>312268.968</v>
      </c>
      <c r="HS27" s="30">
        <f t="shared" si="4"/>
        <v>988311.222</v>
      </c>
      <c r="HT27" s="30">
        <f t="shared" si="4"/>
        <v>0</v>
      </c>
      <c r="HU27" s="30">
        <f t="shared" si="4"/>
        <v>838647.774</v>
      </c>
      <c r="HV27" s="30">
        <f t="shared" si="4"/>
        <v>1324488.33</v>
      </c>
      <c r="HW27" s="30">
        <f t="shared" si="4"/>
        <v>1814243.184</v>
      </c>
      <c r="HX27" s="30">
        <f t="shared" si="4"/>
        <v>754825.986</v>
      </c>
      <c r="HY27" s="30">
        <f t="shared" si="4"/>
        <v>2322521.19</v>
      </c>
      <c r="HZ27" s="30">
        <f t="shared" si="4"/>
        <v>84870.126</v>
      </c>
      <c r="IA27" s="30">
        <f t="shared" si="4"/>
        <v>594799.83</v>
      </c>
      <c r="IB27" s="30">
        <f t="shared" si="4"/>
        <v>699075.522</v>
      </c>
      <c r="IC27" s="30">
        <f t="shared" si="4"/>
        <v>2550184.002</v>
      </c>
      <c r="ID27" s="30">
        <f t="shared" si="4"/>
        <v>879691.338</v>
      </c>
      <c r="IE27" s="30">
        <f t="shared" si="4"/>
        <v>2370774.906</v>
      </c>
      <c r="IF27" s="30">
        <f t="shared" si="4"/>
        <v>374218.956</v>
      </c>
      <c r="IG27" s="30">
        <f t="shared" si="4"/>
        <v>1278474.588</v>
      </c>
      <c r="IH27" s="30">
        <f t="shared" si="4"/>
        <v>1632880.71</v>
      </c>
      <c r="II27" s="30">
        <f t="shared" si="4"/>
        <v>1286137.26</v>
      </c>
      <c r="IJ27" s="30">
        <f t="shared" si="4"/>
        <v>2306667.906</v>
      </c>
      <c r="IK27" s="30">
        <f t="shared" si="4"/>
        <v>811187.352</v>
      </c>
      <c r="IL27" s="30">
        <f t="shared" si="4"/>
        <v>1416515.814</v>
      </c>
      <c r="IM27" s="30">
        <f t="shared" si="4"/>
        <v>991584.45</v>
      </c>
      <c r="IN27" s="30">
        <f t="shared" si="4"/>
        <v>1544043.492</v>
      </c>
      <c r="IO27" s="30">
        <f t="shared" si="4"/>
        <v>1228290.12</v>
      </c>
      <c r="IP27" s="30">
        <f t="shared" si="4"/>
        <v>2303462.556</v>
      </c>
      <c r="IQ27" s="30">
        <f t="shared" si="4"/>
        <v>821044.746</v>
      </c>
      <c r="IR27" s="30">
        <f t="shared" si="4"/>
        <v>1163971.944</v>
      </c>
      <c r="IS27" s="30">
        <f t="shared" si="4"/>
        <v>1614116.214</v>
      </c>
      <c r="IT27" s="30">
        <f t="shared" si="4"/>
        <v>1446027.66</v>
      </c>
      <c r="IU27" s="30">
        <f t="shared" si="4"/>
        <v>1725473.844</v>
      </c>
      <c r="IV27" s="30">
        <f t="shared" si="4"/>
        <v>1120122.756</v>
      </c>
      <c r="IW27" s="30">
        <f t="shared" si="4"/>
        <v>1253518.11</v>
      </c>
      <c r="IX27" s="30">
        <f t="shared" si="4"/>
        <v>1843242.174</v>
      </c>
      <c r="IY27" s="30">
        <f t="shared" si="4"/>
        <v>735179.076</v>
      </c>
      <c r="IZ27" s="30">
        <f t="shared" si="4"/>
        <v>936384.552</v>
      </c>
      <c r="JA27" s="30">
        <f t="shared" si="4"/>
        <v>945947.808</v>
      </c>
      <c r="JB27" s="30">
        <f t="shared" si="4"/>
        <v>2882854.08</v>
      </c>
      <c r="JC27" s="30">
        <f t="shared" si="4"/>
        <v>558062.748</v>
      </c>
      <c r="JD27" s="30">
        <f t="shared" si="4"/>
        <v>1740022.362</v>
      </c>
      <c r="JE27" s="30">
        <f t="shared" si="4"/>
        <v>615608.208</v>
      </c>
      <c r="JF27" s="30">
        <f t="shared" si="4"/>
        <v>2160730.206</v>
      </c>
      <c r="JG27" s="30">
        <f t="shared" si="4"/>
        <v>1519102.098</v>
      </c>
      <c r="JH27" s="30">
        <f t="shared" si="4"/>
        <v>822545.604</v>
      </c>
      <c r="JI27" s="30">
        <f t="shared" si="4"/>
        <v>1307036.142</v>
      </c>
      <c r="JJ27" s="30">
        <f t="shared" si="4"/>
        <v>632072.394</v>
      </c>
      <c r="JK27" s="30">
        <f t="shared" si="4"/>
        <v>601285.95</v>
      </c>
      <c r="JL27" s="30">
        <f t="shared" si="4"/>
        <v>1483239.888</v>
      </c>
      <c r="JM27" s="30">
        <f t="shared" si="4"/>
        <v>957456.9</v>
      </c>
      <c r="JN27" s="30">
        <f t="shared" si="4"/>
        <v>2331941.148</v>
      </c>
      <c r="JO27" s="30">
        <f t="shared" si="4"/>
        <v>696021.012</v>
      </c>
      <c r="JP27" s="30">
        <f t="shared" si="4"/>
        <v>1508558.382</v>
      </c>
      <c r="JQ27" s="30">
        <f t="shared" si="4"/>
        <v>1468321.812</v>
      </c>
      <c r="JR27" s="30">
        <f t="shared" si="4"/>
        <v>1239150.6</v>
      </c>
      <c r="JS27" s="30">
        <f t="shared" si="4"/>
        <v>618006.564</v>
      </c>
      <c r="JT27" s="30">
        <f t="shared" si="4"/>
        <v>1281732.732</v>
      </c>
      <c r="JU27" s="30">
        <f t="shared" si="4"/>
        <v>822357.054</v>
      </c>
      <c r="JV27" s="30">
        <f t="shared" si="4"/>
        <v>1570832.676</v>
      </c>
      <c r="JW27" s="30">
        <f t="shared" si="4"/>
        <v>1793962.746</v>
      </c>
      <c r="JX27" s="30">
        <f t="shared" si="4"/>
        <v>1885462.29</v>
      </c>
      <c r="JY27" s="30">
        <f t="shared" si="4"/>
        <v>1030493.628</v>
      </c>
      <c r="JZ27" s="30">
        <f t="shared" si="4"/>
        <v>1386302.562</v>
      </c>
      <c r="KA27" s="30">
        <f t="shared" si="4"/>
        <v>1440137.358</v>
      </c>
      <c r="KB27" s="30">
        <f t="shared" si="4"/>
        <v>1636674.336</v>
      </c>
      <c r="KC27" s="30">
        <f t="shared" si="4"/>
        <v>1320091.344</v>
      </c>
      <c r="KD27" s="30">
        <f t="shared" si="4"/>
        <v>1149151.914</v>
      </c>
      <c r="KE27" s="30">
        <f t="shared" si="4"/>
        <v>898501.086</v>
      </c>
      <c r="KF27" s="30">
        <f t="shared" si="4"/>
        <v>920267.298</v>
      </c>
      <c r="KG27" s="30">
        <f t="shared" si="4"/>
        <v>3346046.01</v>
      </c>
      <c r="KH27" s="30">
        <f t="shared" si="4"/>
        <v>200119.428</v>
      </c>
      <c r="KI27" s="30">
        <f t="shared" si="4"/>
        <v>410963.58</v>
      </c>
      <c r="KJ27" s="30">
        <f t="shared" si="4"/>
        <v>1102994.874</v>
      </c>
      <c r="KK27" s="30">
        <f t="shared" si="4"/>
        <v>1078551.252</v>
      </c>
      <c r="KL27" s="30">
        <f t="shared" si="4"/>
        <v>488457.63</v>
      </c>
      <c r="KM27" s="30">
        <f t="shared" si="4"/>
        <v>2212038.432</v>
      </c>
      <c r="KN27" s="30">
        <f t="shared" si="4"/>
        <v>1466059.212</v>
      </c>
      <c r="KO27" s="30">
        <f t="shared" si="4"/>
        <v>1336563.072</v>
      </c>
      <c r="KP27" s="30">
        <f t="shared" si="4"/>
        <v>483034.932</v>
      </c>
      <c r="KQ27" s="30">
        <f t="shared" si="4"/>
        <v>0</v>
      </c>
      <c r="KR27" s="30">
        <f t="shared" si="4"/>
        <v>1564738.74</v>
      </c>
      <c r="KS27" s="30">
        <f t="shared" si="4"/>
        <v>2048844.636</v>
      </c>
      <c r="KT27" s="30">
        <f t="shared" si="4"/>
        <v>1028608.128</v>
      </c>
      <c r="KU27" s="30">
        <f t="shared" si="4"/>
        <v>1722193.074</v>
      </c>
      <c r="KV27" s="30">
        <f t="shared" si="4"/>
        <v>1283029.956</v>
      </c>
      <c r="KW27" s="30">
        <f t="shared" si="4"/>
        <v>617546.502</v>
      </c>
      <c r="KX27" s="30">
        <f t="shared" si="4"/>
        <v>1219217.094</v>
      </c>
      <c r="KY27" s="30">
        <f t="shared" si="4"/>
        <v>1573321.536</v>
      </c>
      <c r="KZ27" s="30">
        <f t="shared" si="4"/>
        <v>1131020.946</v>
      </c>
      <c r="LA27" s="30">
        <f t="shared" si="4"/>
        <v>1176793.344</v>
      </c>
      <c r="LB27" s="30">
        <f t="shared" si="4"/>
        <v>1055035.296</v>
      </c>
      <c r="LC27" s="30">
        <f t="shared" si="4"/>
        <v>879314.238</v>
      </c>
      <c r="LD27" s="30">
        <f t="shared" si="4"/>
        <v>1706166.324</v>
      </c>
      <c r="LE27" s="30">
        <f t="shared" si="4"/>
        <v>1155811.5</v>
      </c>
      <c r="LF27" s="30">
        <f t="shared" si="4"/>
        <v>2988298.782</v>
      </c>
      <c r="LG27" s="30">
        <f t="shared" si="4"/>
        <v>1295413.92</v>
      </c>
      <c r="LH27" s="30">
        <f t="shared" si="4"/>
        <v>1024859.754</v>
      </c>
      <c r="LI27" s="30">
        <f t="shared" si="4"/>
        <v>967555.638</v>
      </c>
      <c r="LJ27" s="30">
        <f t="shared" si="4"/>
        <v>1603504.62</v>
      </c>
      <c r="LK27" s="30">
        <f t="shared" si="4"/>
        <v>452595.42</v>
      </c>
      <c r="LL27" s="30">
        <f t="shared" si="4"/>
        <v>1339180.146</v>
      </c>
      <c r="LM27" s="30">
        <f t="shared" si="4"/>
        <v>1035599.562</v>
      </c>
      <c r="LN27" s="30">
        <f t="shared" si="4"/>
        <v>2028926.214</v>
      </c>
      <c r="LO27" s="30">
        <f t="shared" si="4"/>
        <v>1418182.596</v>
      </c>
      <c r="LP27" s="30">
        <f t="shared" si="4"/>
        <v>1504591.29</v>
      </c>
      <c r="LQ27" s="30">
        <f t="shared" si="4"/>
        <v>1718037.432</v>
      </c>
      <c r="LR27" s="30">
        <f t="shared" si="4"/>
        <v>1460968.362</v>
      </c>
      <c r="LS27" s="30">
        <f t="shared" si="4"/>
        <v>1142975.016</v>
      </c>
      <c r="LT27" s="30">
        <f t="shared" si="4"/>
        <v>79930.116</v>
      </c>
      <c r="LU27" s="30">
        <f t="shared" si="4"/>
        <v>1904460.588</v>
      </c>
      <c r="LV27" s="30">
        <f t="shared" si="4"/>
        <v>546968.466</v>
      </c>
      <c r="LW27" s="30">
        <f t="shared" si="4"/>
        <v>1436509.656</v>
      </c>
      <c r="LX27" s="30">
        <f t="shared" si="4"/>
        <v>1630791.576</v>
      </c>
      <c r="LY27" s="30">
        <f t="shared" si="4"/>
        <v>1737020.646</v>
      </c>
      <c r="LZ27" s="30">
        <f t="shared" si="4"/>
        <v>265206.888</v>
      </c>
      <c r="MA27" s="30">
        <f t="shared" si="4"/>
        <v>1105166.97</v>
      </c>
      <c r="MB27" s="30">
        <f t="shared" si="4"/>
        <v>484347.24</v>
      </c>
      <c r="MC27" s="30">
        <f t="shared" si="4"/>
        <v>1268458.812</v>
      </c>
      <c r="MD27" s="30">
        <f t="shared" si="4"/>
        <v>587861.19</v>
      </c>
      <c r="ME27" s="30">
        <f t="shared" si="4"/>
        <v>622788.192</v>
      </c>
      <c r="MF27" s="30">
        <f t="shared" si="4"/>
        <v>1818383.742</v>
      </c>
      <c r="MG27" s="30">
        <f t="shared" si="4"/>
        <v>414553.572</v>
      </c>
      <c r="MH27" s="30">
        <f t="shared" si="4"/>
        <v>1248336.756</v>
      </c>
      <c r="MI27" s="30">
        <f t="shared" si="4"/>
        <v>1687884.516</v>
      </c>
      <c r="MJ27" s="30">
        <f t="shared" si="4"/>
        <v>1799000.802</v>
      </c>
      <c r="MK27" s="30">
        <f t="shared" si="4"/>
        <v>2867920.92</v>
      </c>
      <c r="ML27" s="30">
        <f t="shared" si="4"/>
        <v>807793.452</v>
      </c>
      <c r="MM27" s="30">
        <f t="shared" si="4"/>
        <v>1543726.728</v>
      </c>
      <c r="MN27" s="30">
        <f t="shared" si="4"/>
        <v>0</v>
      </c>
      <c r="MO27" s="30">
        <f t="shared" si="4"/>
        <v>2421080.046</v>
      </c>
      <c r="MP27" s="30">
        <f t="shared" si="4"/>
        <v>2172910.536</v>
      </c>
      <c r="MQ27" s="30">
        <f t="shared" si="4"/>
        <v>1292344.326</v>
      </c>
      <c r="MR27" s="30">
        <f t="shared" si="4"/>
        <v>1209872.556</v>
      </c>
      <c r="MS27" s="30">
        <f t="shared" si="4"/>
        <v>713729.628</v>
      </c>
      <c r="MT27" s="30">
        <f t="shared" si="4"/>
        <v>818495.55</v>
      </c>
      <c r="MU27" s="30">
        <f t="shared" si="4"/>
        <v>1537316.028</v>
      </c>
      <c r="MV27" s="30">
        <f t="shared" si="4"/>
        <v>1745980.542</v>
      </c>
      <c r="MW27" s="30">
        <f t="shared" si="4"/>
        <v>927688.626</v>
      </c>
      <c r="MX27" s="30">
        <f t="shared" si="4"/>
        <v>1027770.966</v>
      </c>
      <c r="MY27" s="30">
        <f t="shared" si="4"/>
        <v>1133562.6</v>
      </c>
      <c r="MZ27" s="30">
        <f t="shared" si="4"/>
        <v>2425092.39</v>
      </c>
      <c r="NA27" s="30">
        <f t="shared" si="4"/>
        <v>916526.466</v>
      </c>
      <c r="NB27" s="30">
        <f t="shared" si="4"/>
        <v>1737518.418</v>
      </c>
    </row>
    <row r="28" ht="15.75" customHeight="1"/>
    <row r="29" ht="15.75" customHeight="1">
      <c r="B29" s="31" t="s">
        <v>376</v>
      </c>
    </row>
    <row r="30" ht="15.75" customHeight="1">
      <c r="B30" s="3" t="str">
        <f t="shared" ref="B30:B32" si="5">B25</f>
        <v>Crude Oil Tanker</v>
      </c>
      <c r="C30" s="32">
        <f t="shared" ref="C30:C32" si="6">AVERAGE(CL25:NB25)</f>
        <v>19883899.78</v>
      </c>
      <c r="D30" s="33" t="s">
        <v>377</v>
      </c>
    </row>
    <row r="31" ht="15.75" customHeight="1">
      <c r="B31" s="8" t="str">
        <f t="shared" si="5"/>
        <v>LNG Tanker</v>
      </c>
      <c r="C31" s="11">
        <f t="shared" si="6"/>
        <v>2295978.34</v>
      </c>
      <c r="D31" s="34" t="s">
        <v>377</v>
      </c>
    </row>
    <row r="32" ht="15.75" customHeight="1">
      <c r="B32" s="13" t="str">
        <f t="shared" si="5"/>
        <v>LPG Tanker</v>
      </c>
      <c r="C32" s="16">
        <f t="shared" si="6"/>
        <v>1205728.513</v>
      </c>
      <c r="D32" s="35" t="s">
        <v>377</v>
      </c>
    </row>
    <row r="33" ht="15.75" customHeight="1"/>
    <row r="34" ht="15.75" customHeight="1">
      <c r="B34" s="19" t="s">
        <v>378</v>
      </c>
    </row>
    <row r="35" ht="15.75" customHeight="1">
      <c r="B35" s="3" t="str">
        <f t="shared" ref="B35:B37" si="7">B30</f>
        <v>Crude Oil Tanker</v>
      </c>
      <c r="C35" s="20">
        <f t="shared" ref="C35:C37" si="8">AVERAGE(C25:CK25)</f>
        <v>477846.3229</v>
      </c>
    </row>
    <row r="36" ht="15.75" customHeight="1">
      <c r="B36" s="8" t="str">
        <f t="shared" si="7"/>
        <v>LNG Tanker</v>
      </c>
      <c r="C36" s="12">
        <f t="shared" si="8"/>
        <v>31740.51879</v>
      </c>
    </row>
    <row r="37" ht="15.75" customHeight="1">
      <c r="B37" s="13" t="str">
        <f t="shared" si="7"/>
        <v>LPG Tanker</v>
      </c>
      <c r="C37" s="17">
        <f t="shared" si="8"/>
        <v>153497.1246</v>
      </c>
    </row>
    <row r="38" ht="15.75" customHeight="1"/>
    <row r="39" ht="15.75" customHeight="1">
      <c r="B39" s="36">
        <v>46081.0</v>
      </c>
      <c r="C39" s="2" t="s">
        <v>379</v>
      </c>
    </row>
    <row r="40" ht="15.75" customHeight="1">
      <c r="B40" s="36">
        <f>TODAY()</f>
        <v>46175</v>
      </c>
      <c r="C40" s="2">
        <f>B40-B39</f>
        <v>94</v>
      </c>
      <c r="D40" s="2" t="s">
        <v>380</v>
      </c>
    </row>
    <row r="41" ht="15.75" customHeight="1"/>
    <row r="42" ht="15.75" customHeight="1">
      <c r="B42" s="19" t="s">
        <v>381</v>
      </c>
      <c r="C42" s="33"/>
    </row>
    <row r="43" ht="15.75" customHeight="1">
      <c r="B43" s="31" t="str">
        <f t="shared" ref="B43:B45" si="9">B30</f>
        <v>Crude Oil Tanker</v>
      </c>
      <c r="C43" s="37">
        <f t="shared" ref="C43:C45" si="10">C30*$C$40</f>
        <v>1869086580</v>
      </c>
    </row>
    <row r="44" ht="15.75" customHeight="1">
      <c r="B44" s="38" t="str">
        <f t="shared" si="9"/>
        <v>LNG Tanker</v>
      </c>
      <c r="C44" s="39">
        <f t="shared" si="10"/>
        <v>215821964</v>
      </c>
    </row>
    <row r="45" ht="15.75" customHeight="1">
      <c r="B45" s="40" t="str">
        <f t="shared" si="9"/>
        <v>LPG Tanker</v>
      </c>
      <c r="C45" s="41">
        <f t="shared" si="10"/>
        <v>113338480.2</v>
      </c>
    </row>
    <row r="46" ht="15.75" customHeight="1">
      <c r="B46" s="42"/>
      <c r="C46" s="34"/>
    </row>
    <row r="47" ht="15.75" customHeight="1">
      <c r="B47" s="19" t="s">
        <v>382</v>
      </c>
      <c r="C47" s="34"/>
      <c r="D47" s="19" t="s">
        <v>383</v>
      </c>
    </row>
    <row r="48" ht="15.75" customHeight="1">
      <c r="B48" s="31" t="str">
        <f t="shared" ref="B48:B50" si="11">B43</f>
        <v>Crude Oil Tanker</v>
      </c>
      <c r="C48" s="37">
        <f t="shared" ref="C48:C50" si="12">SUM(C25:CK25)</f>
        <v>41572630.09</v>
      </c>
      <c r="D48" s="43">
        <f t="shared" ref="D48:D50" si="13">C43-C48</f>
        <v>1827513950</v>
      </c>
      <c r="E48" s="33" t="s">
        <v>384</v>
      </c>
    </row>
    <row r="49" ht="15.75" customHeight="1">
      <c r="B49" s="38" t="str">
        <f t="shared" si="11"/>
        <v>LNG Tanker</v>
      </c>
      <c r="C49" s="39">
        <f t="shared" si="12"/>
        <v>2761425.135</v>
      </c>
      <c r="D49" s="44">
        <f t="shared" si="13"/>
        <v>213060538.9</v>
      </c>
      <c r="E49" s="34" t="s">
        <v>385</v>
      </c>
    </row>
    <row r="50" ht="15.75" customHeight="1">
      <c r="B50" s="40" t="str">
        <f t="shared" si="11"/>
        <v>LPG Tanker</v>
      </c>
      <c r="C50" s="41">
        <f t="shared" si="12"/>
        <v>13354249.84</v>
      </c>
      <c r="D50" s="45">
        <f t="shared" si="13"/>
        <v>99984230.37</v>
      </c>
      <c r="E50" s="35" t="s">
        <v>385</v>
      </c>
    </row>
    <row r="51" ht="15.75" customHeight="1"/>
    <row r="52" ht="15.75" customHeight="1">
      <c r="D52" s="19" t="s">
        <v>386</v>
      </c>
    </row>
    <row r="53" ht="15.75" customHeight="1">
      <c r="B53" s="3" t="s">
        <v>387</v>
      </c>
      <c r="C53" s="32">
        <v>2.03E7</v>
      </c>
      <c r="D53" s="46">
        <f>D48/C53</f>
        <v>90.02531772</v>
      </c>
      <c r="E53" s="25" t="s">
        <v>388</v>
      </c>
    </row>
    <row r="54" ht="15.75" customHeight="1">
      <c r="B54" s="8" t="s">
        <v>389</v>
      </c>
      <c r="C54" s="11">
        <v>1.61E7</v>
      </c>
      <c r="D54" s="47">
        <f t="shared" ref="D54:D55" si="14">$D$48/C54</f>
        <v>113.5101832</v>
      </c>
      <c r="E54" s="27" t="s">
        <v>388</v>
      </c>
    </row>
    <row r="55" ht="15.75" customHeight="1">
      <c r="B55" s="8" t="s">
        <v>390</v>
      </c>
      <c r="C55" s="11">
        <v>1.05E7</v>
      </c>
      <c r="D55" s="47">
        <f t="shared" si="14"/>
        <v>174.0489476</v>
      </c>
      <c r="E55" s="27" t="s">
        <v>388</v>
      </c>
    </row>
    <row r="56" ht="15.75" customHeight="1">
      <c r="B56" s="13" t="s">
        <v>391</v>
      </c>
      <c r="C56" s="16">
        <v>1.046E8</v>
      </c>
      <c r="D56" s="48">
        <f>D48/C56</f>
        <v>17.47145267</v>
      </c>
      <c r="E56" s="29" t="s">
        <v>388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392</v>
      </c>
    </row>
    <row r="2">
      <c r="A2" s="2" t="s">
        <v>393</v>
      </c>
    </row>
    <row r="3">
      <c r="A3" s="2" t="s">
        <v>394</v>
      </c>
    </row>
    <row r="4">
      <c r="A4" s="2" t="s">
        <v>395</v>
      </c>
    </row>
    <row r="6">
      <c r="A6" s="2" t="s">
        <v>396</v>
      </c>
    </row>
    <row r="7">
      <c r="A7" s="2" t="s">
        <v>392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22.29"/>
    <col customWidth="1" min="4" max="4" width="27.29"/>
    <col customWidth="1" min="5" max="5" width="22.14"/>
    <col customWidth="1" min="6" max="26" width="8.71"/>
  </cols>
  <sheetData>
    <row r="2">
      <c r="B2" s="36">
        <v>46081.0</v>
      </c>
      <c r="C2" s="2" t="s">
        <v>379</v>
      </c>
    </row>
    <row r="3">
      <c r="B3" s="36">
        <v>46170.0</v>
      </c>
      <c r="C3" s="2">
        <v>89.0</v>
      </c>
      <c r="D3" s="2" t="s">
        <v>380</v>
      </c>
    </row>
    <row r="5">
      <c r="B5" s="2" t="s">
        <v>381</v>
      </c>
    </row>
    <row r="6">
      <c r="B6" s="2" t="s">
        <v>370</v>
      </c>
      <c r="C6" s="49">
        <v>4.874560128267148E8</v>
      </c>
    </row>
    <row r="7">
      <c r="B7" s="2" t="s">
        <v>371</v>
      </c>
      <c r="C7" s="49">
        <v>5.143717086642599E7</v>
      </c>
    </row>
    <row r="8">
      <c r="B8" s="2" t="s">
        <v>372</v>
      </c>
      <c r="C8" s="49">
        <v>2.872783544043321E7</v>
      </c>
    </row>
    <row r="9">
      <c r="C9" s="49"/>
    </row>
    <row r="10">
      <c r="B10" s="2" t="s">
        <v>382</v>
      </c>
      <c r="C10" s="49"/>
      <c r="D10" s="2" t="s">
        <v>383</v>
      </c>
    </row>
    <row r="11">
      <c r="B11" s="2" t="s">
        <v>370</v>
      </c>
      <c r="C11" s="49">
        <v>8890388.0</v>
      </c>
      <c r="D11" s="49">
        <v>4.785656248267148E8</v>
      </c>
      <c r="E11" s="2" t="s">
        <v>384</v>
      </c>
    </row>
    <row r="12">
      <c r="B12" s="2" t="s">
        <v>371</v>
      </c>
      <c r="C12" s="49">
        <v>345135.0</v>
      </c>
      <c r="D12" s="49">
        <v>5.109203586642599E7</v>
      </c>
      <c r="E12" s="2" t="s">
        <v>385</v>
      </c>
    </row>
    <row r="13">
      <c r="B13" s="2" t="s">
        <v>372</v>
      </c>
      <c r="C13" s="49">
        <v>2631597.0</v>
      </c>
      <c r="D13" s="49">
        <v>2.609623844043321E7</v>
      </c>
      <c r="E13" s="2" t="s">
        <v>385</v>
      </c>
    </row>
    <row r="14">
      <c r="C14" s="49"/>
      <c r="D14" s="49"/>
    </row>
    <row r="15">
      <c r="C15" s="49"/>
      <c r="D15" s="49" t="s">
        <v>397</v>
      </c>
    </row>
    <row r="16">
      <c r="B16" s="2" t="s">
        <v>387</v>
      </c>
      <c r="C16" s="49">
        <v>2.03E7</v>
      </c>
      <c r="D16" s="49">
        <v>23.574661321513044</v>
      </c>
      <c r="E16" s="2" t="s">
        <v>388</v>
      </c>
    </row>
    <row r="17">
      <c r="B17" s="2" t="s">
        <v>389</v>
      </c>
      <c r="C17" s="49">
        <v>1.61E7</v>
      </c>
      <c r="D17" s="49">
        <v>29.724572970603404</v>
      </c>
      <c r="E17" s="2" t="s">
        <v>388</v>
      </c>
    </row>
    <row r="18">
      <c r="B18" s="2" t="s">
        <v>390</v>
      </c>
      <c r="C18" s="49">
        <v>1.05E7</v>
      </c>
      <c r="D18" s="49">
        <v>45.57767855492522</v>
      </c>
      <c r="E18" s="2" t="s">
        <v>388</v>
      </c>
    </row>
    <row r="19">
      <c r="B19" s="2" t="s">
        <v>391</v>
      </c>
      <c r="C19" s="49">
        <v>1.046E8</v>
      </c>
      <c r="D19" s="49">
        <v>4.575197178075667</v>
      </c>
      <c r="E19" s="2" t="s">
        <v>388</v>
      </c>
    </row>
    <row r="21" ht="15.75" customHeight="1">
      <c r="D21" s="49">
        <v>1.0E9</v>
      </c>
    </row>
    <row r="22" ht="15.75" customHeight="1">
      <c r="D22" s="2">
        <f t="shared" ref="D22:D25" si="1">$D$21/C16</f>
        <v>49.26108374</v>
      </c>
    </row>
    <row r="23" ht="15.75" customHeight="1">
      <c r="D23" s="2">
        <f t="shared" si="1"/>
        <v>62.11180124</v>
      </c>
    </row>
    <row r="24" ht="15.75" customHeight="1">
      <c r="D24" s="2">
        <f t="shared" si="1"/>
        <v>95.23809524</v>
      </c>
    </row>
    <row r="25" ht="15.75" customHeight="1">
      <c r="D25" s="2">
        <f t="shared" si="1"/>
        <v>9.560229446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